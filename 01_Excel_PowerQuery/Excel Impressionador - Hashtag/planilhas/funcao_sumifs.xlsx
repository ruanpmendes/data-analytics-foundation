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Impressionador 2021\Módulo 8 - Funções Mercado de Trabalho\"/>
    </mc:Choice>
  </mc:AlternateContent>
  <xr:revisionPtr revIDLastSave="0" documentId="8_{8C629EFD-7CCC-4CC6-BC8D-511026896990}" xr6:coauthVersionLast="47" xr6:coauthVersionMax="47" xr10:uidLastSave="{00000000-0000-0000-0000-000000000000}"/>
  <bookViews>
    <workbookView xWindow="-108" yWindow="-108" windowWidth="23256" windowHeight="13176" activeTab="1" xr2:uid="{3D2557DA-CD0B-48AD-8EFD-8912689B8782}"/>
  </bookViews>
  <sheets>
    <sheet name="SOMASES" sheetId="2" r:id="rId1"/>
    <sheet name="Pratica" sheetId="1" r:id="rId2"/>
  </sheets>
  <definedNames>
    <definedName name="_xlnm._FilterDatabase" localSheetId="1" hidden="1">Pratica!$A$1:$E$31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H12" i="1"/>
  <c r="H8" i="1"/>
  <c r="H4" i="1"/>
  <c r="N19" i="1"/>
  <c r="I18" i="1"/>
  <c r="J18" i="1"/>
  <c r="K18" i="1"/>
  <c r="L18" i="1"/>
  <c r="M18" i="1"/>
  <c r="N18" i="1"/>
  <c r="I19" i="1"/>
  <c r="J19" i="1"/>
  <c r="K19" i="1"/>
  <c r="L19" i="1"/>
  <c r="M19" i="1"/>
  <c r="I20" i="1"/>
  <c r="J20" i="1"/>
  <c r="K20" i="1"/>
  <c r="L20" i="1"/>
  <c r="M20" i="1"/>
  <c r="N20" i="1"/>
  <c r="I21" i="1"/>
  <c r="J21" i="1"/>
  <c r="K21" i="1"/>
  <c r="L21" i="1"/>
  <c r="M21" i="1"/>
  <c r="N21" i="1"/>
  <c r="K17" i="1"/>
  <c r="L17" i="1"/>
  <c r="M17" i="1"/>
  <c r="N17" i="1"/>
  <c r="J17" i="1"/>
  <c r="H13" i="2"/>
  <c r="H9" i="2"/>
  <c r="H5" i="2"/>
</calcChain>
</file>

<file path=xl/sharedStrings.xml><?xml version="1.0" encoding="utf-8"?>
<sst xmlns="http://schemas.openxmlformats.org/spreadsheetml/2006/main" count="166" uniqueCount="78">
  <si>
    <t>Nome</t>
  </si>
  <si>
    <t>Equipe</t>
  </si>
  <si>
    <t>Contratação</t>
  </si>
  <si>
    <t>Região</t>
  </si>
  <si>
    <t>Venda</t>
  </si>
  <si>
    <t>Pedro Martins</t>
  </si>
  <si>
    <t>Azul</t>
  </si>
  <si>
    <t>Salvador</t>
  </si>
  <si>
    <t>Camila Cury</t>
  </si>
  <si>
    <t>Amarela</t>
  </si>
  <si>
    <t>Porto Alegre</t>
  </si>
  <si>
    <t>Luiza França</t>
  </si>
  <si>
    <t>Amanda Egler</t>
  </si>
  <si>
    <t>Rio de Janeiro</t>
  </si>
  <si>
    <t>Total de Vendas</t>
  </si>
  <si>
    <t>Sergio Tranjan</t>
  </si>
  <si>
    <t>Felipe Almeida</t>
  </si>
  <si>
    <t>Preta</t>
  </si>
  <si>
    <t>Caio Junqueira</t>
  </si>
  <si>
    <t>Lais Azevedo</t>
  </si>
  <si>
    <t>Tainá Motta</t>
  </si>
  <si>
    <t>Jurandir Piscatella</t>
  </si>
  <si>
    <t>Wilson Arrascaeta</t>
  </si>
  <si>
    <t>Contratados após:</t>
  </si>
  <si>
    <t>Tomás Melo</t>
  </si>
  <si>
    <t>Mariana Ferreira</t>
  </si>
  <si>
    <t>Produto</t>
  </si>
  <si>
    <t>Fábrica</t>
  </si>
  <si>
    <t>Validade</t>
  </si>
  <si>
    <t>Marca</t>
  </si>
  <si>
    <t>Estoque</t>
  </si>
  <si>
    <t>Produto 1</t>
  </si>
  <si>
    <t>Alemanha</t>
  </si>
  <si>
    <t>Adidas</t>
  </si>
  <si>
    <t>Qual a quantidade em estoque de produtos fabricados na China?</t>
  </si>
  <si>
    <t>Produto 2</t>
  </si>
  <si>
    <t>Hyper</t>
  </si>
  <si>
    <t>Produto 3</t>
  </si>
  <si>
    <t>Microsoft</t>
  </si>
  <si>
    <t>Produto 4</t>
  </si>
  <si>
    <t>Nike</t>
  </si>
  <si>
    <t>Produto 5</t>
  </si>
  <si>
    <t>Puma</t>
  </si>
  <si>
    <t>Qual a quantidade em estoque de produtos fabricados na Alemanha da marca Puma?</t>
  </si>
  <si>
    <t>Produto 6</t>
  </si>
  <si>
    <t>Wilson</t>
  </si>
  <si>
    <t>Produto 7</t>
  </si>
  <si>
    <t>Brasil</t>
  </si>
  <si>
    <t>Produto 8</t>
  </si>
  <si>
    <t>Produto 9</t>
  </si>
  <si>
    <t>Qual a quantidade em estoque que vence entre 01/01/2028 e 31/12/2029?</t>
  </si>
  <si>
    <t>Produto 10</t>
  </si>
  <si>
    <t>Produto 11</t>
  </si>
  <si>
    <t>Produto 12</t>
  </si>
  <si>
    <t>Produto 13</t>
  </si>
  <si>
    <t>China</t>
  </si>
  <si>
    <t>Faça um resumo gerencial da quantidade de estoque de fábrica (coluna) por marca (linha)</t>
  </si>
  <si>
    <t>Produto 14</t>
  </si>
  <si>
    <t>Produto 15</t>
  </si>
  <si>
    <t>Resumo</t>
  </si>
  <si>
    <t>Produto 16</t>
  </si>
  <si>
    <t>Produto 17</t>
  </si>
  <si>
    <t>Produto 18</t>
  </si>
  <si>
    <t>Produto 19</t>
  </si>
  <si>
    <t>França</t>
  </si>
  <si>
    <t>Produto 20</t>
  </si>
  <si>
    <t>Índia</t>
  </si>
  <si>
    <t>Produto 21</t>
  </si>
  <si>
    <t>Produto 22</t>
  </si>
  <si>
    <t>Produto 23</t>
  </si>
  <si>
    <t>Produto 24</t>
  </si>
  <si>
    <t>Produto 25</t>
  </si>
  <si>
    <t>Produto 26</t>
  </si>
  <si>
    <t>Produto 27</t>
  </si>
  <si>
    <t>Produto 28</t>
  </si>
  <si>
    <t>Produto 29</t>
  </si>
  <si>
    <t>Produto 30</t>
  </si>
  <si>
    <t>Produto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</si>
</sst>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"/>
    <numFmt numFmtId="165" formatCode="_-[$R$-416]\ * #,##0.00_-;\-[$R$-416]\ * #,##0.00_-;_-[$R$-416]\ * &quot;-&quot;??_-;_-@_-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2" fillId="2" borderId="0" xfId="0" applyFont="1" applyFill="1"/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3" fontId="0" fillId="0" borderId="1" xfId="0" applyNumberFormat="1" applyBorder="1" applyAlignment="1">
      <alignment horizontal="center"/>
    </xf>
    <xf numFmtId="0" fontId="0" fillId="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left"/>
    </xf>
    <xf numFmtId="0" fontId="0" fillId="4" borderId="2" xfId="0" applyFill="1" applyBorder="1"/>
    <xf numFmtId="165" fontId="0" fillId="4" borderId="2" xfId="0" applyNumberFormat="1" applyFill="1" applyBorder="1"/>
    <xf numFmtId="0" fontId="0" fillId="5" borderId="2" xfId="0" applyFill="1" applyBorder="1"/>
    <xf numFmtId="165" fontId="0" fillId="5" borderId="2" xfId="0" applyNumberFormat="1" applyFill="1" applyBorder="1"/>
    <xf numFmtId="0" fontId="0" fillId="6" borderId="2" xfId="0" applyFill="1" applyBorder="1"/>
    <xf numFmtId="14" fontId="0" fillId="6" borderId="2" xfId="0" applyNumberFormat="1" applyFill="1" applyBorder="1"/>
    <xf numFmtId="165" fontId="0" fillId="6" borderId="2" xfId="0" applyNumberFormat="1" applyFill="1" applyBorder="1"/>
    <xf numFmtId="1" fontId="1" fillId="3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547-D7E7-4AC6-B262-BC90CCAE7898}">
  <dimension ref="A1:H16"/>
  <sheetViews>
    <sheetView showGridLines="0" zoomScale="120" zoomScaleNormal="120" workbookViewId="0">
      <selection activeCell="H14" sqref="H14"/>
    </sheetView>
  </sheetViews>
  <sheetFormatPr defaultRowHeight="14.45"/>
  <cols>
    <col min="1" max="1" width="19.7109375" customWidth="1"/>
    <col min="2" max="5" width="15.7109375" customWidth="1"/>
    <col min="6" max="6" width="9" customWidth="1"/>
    <col min="7" max="7" width="17.140625" bestFit="1" customWidth="1"/>
    <col min="8" max="8" width="13.710937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8">
      <c r="A2" t="s">
        <v>5</v>
      </c>
      <c r="B2" t="s">
        <v>6</v>
      </c>
      <c r="C2" s="4">
        <v>41415</v>
      </c>
      <c r="D2" t="s">
        <v>7</v>
      </c>
      <c r="E2" s="3">
        <v>3000</v>
      </c>
    </row>
    <row r="3" spans="1:8">
      <c r="A3" t="s">
        <v>8</v>
      </c>
      <c r="B3" t="s">
        <v>9</v>
      </c>
      <c r="C3" s="4">
        <v>42096</v>
      </c>
      <c r="D3" t="s">
        <v>10</v>
      </c>
      <c r="E3" s="3">
        <v>4000</v>
      </c>
    </row>
    <row r="4" spans="1:8">
      <c r="A4" t="s">
        <v>11</v>
      </c>
      <c r="B4" t="s">
        <v>9</v>
      </c>
      <c r="C4" s="4">
        <v>43548</v>
      </c>
      <c r="D4" t="s">
        <v>7</v>
      </c>
      <c r="E4" s="3">
        <v>3000</v>
      </c>
      <c r="G4" s="12" t="s">
        <v>1</v>
      </c>
      <c r="H4" s="12" t="s">
        <v>9</v>
      </c>
    </row>
    <row r="5" spans="1:8">
      <c r="A5" t="s">
        <v>12</v>
      </c>
      <c r="B5" t="s">
        <v>6</v>
      </c>
      <c r="C5" s="4">
        <v>42290</v>
      </c>
      <c r="D5" t="s">
        <v>13</v>
      </c>
      <c r="E5" s="3">
        <v>3000</v>
      </c>
      <c r="G5" s="12" t="s">
        <v>14</v>
      </c>
      <c r="H5" s="13">
        <f>SUMIFS(E:E,B:B,H4)</f>
        <v>19000</v>
      </c>
    </row>
    <row r="6" spans="1:8">
      <c r="A6" t="s">
        <v>15</v>
      </c>
      <c r="B6" t="s">
        <v>9</v>
      </c>
      <c r="C6" s="4">
        <v>43162</v>
      </c>
      <c r="D6" t="s">
        <v>7</v>
      </c>
      <c r="E6" s="3">
        <v>6000</v>
      </c>
    </row>
    <row r="7" spans="1:8">
      <c r="A7" t="s">
        <v>16</v>
      </c>
      <c r="B7" t="s">
        <v>17</v>
      </c>
      <c r="C7" s="4">
        <v>43565</v>
      </c>
      <c r="D7" t="s">
        <v>10</v>
      </c>
      <c r="E7" s="3">
        <v>2000</v>
      </c>
    </row>
    <row r="8" spans="1:8">
      <c r="A8" t="s">
        <v>18</v>
      </c>
      <c r="B8" t="s">
        <v>6</v>
      </c>
      <c r="C8" s="4">
        <v>43957</v>
      </c>
      <c r="D8" t="s">
        <v>7</v>
      </c>
      <c r="E8" s="3">
        <v>2000</v>
      </c>
      <c r="G8" s="14" t="s">
        <v>6</v>
      </c>
      <c r="H8" s="14" t="s">
        <v>7</v>
      </c>
    </row>
    <row r="9" spans="1:8">
      <c r="A9" t="s">
        <v>19</v>
      </c>
      <c r="B9" t="s">
        <v>9</v>
      </c>
      <c r="C9" s="4">
        <v>42018</v>
      </c>
      <c r="D9" t="s">
        <v>7</v>
      </c>
      <c r="E9" s="3">
        <v>1000</v>
      </c>
      <c r="G9" s="14" t="s">
        <v>14</v>
      </c>
      <c r="H9" s="15">
        <f>SUMIFS(E:E,B:B,G8,D:D,H8)</f>
        <v>14000</v>
      </c>
    </row>
    <row r="10" spans="1:8">
      <c r="A10" t="s">
        <v>20</v>
      </c>
      <c r="B10" t="s">
        <v>17</v>
      </c>
      <c r="C10" s="4">
        <v>41473</v>
      </c>
      <c r="D10" t="s">
        <v>13</v>
      </c>
      <c r="E10" s="3">
        <v>4000</v>
      </c>
    </row>
    <row r="11" spans="1:8">
      <c r="A11" t="s">
        <v>21</v>
      </c>
      <c r="B11" t="s">
        <v>6</v>
      </c>
      <c r="C11" s="4">
        <v>41536</v>
      </c>
      <c r="D11" t="s">
        <v>7</v>
      </c>
      <c r="E11" s="3">
        <v>6000</v>
      </c>
    </row>
    <row r="12" spans="1:8">
      <c r="A12" t="s">
        <v>22</v>
      </c>
      <c r="B12" t="s">
        <v>9</v>
      </c>
      <c r="C12" s="4">
        <v>43115</v>
      </c>
      <c r="D12" t="s">
        <v>10</v>
      </c>
      <c r="E12" s="3">
        <v>5000</v>
      </c>
      <c r="G12" s="16" t="s">
        <v>23</v>
      </c>
      <c r="H12" s="17">
        <v>43101</v>
      </c>
    </row>
    <row r="13" spans="1:8">
      <c r="A13" t="s">
        <v>24</v>
      </c>
      <c r="B13" t="s">
        <v>6</v>
      </c>
      <c r="C13" s="4">
        <v>41782</v>
      </c>
      <c r="D13" t="s">
        <v>7</v>
      </c>
      <c r="E13" s="3">
        <v>3000</v>
      </c>
      <c r="G13" s="16" t="s">
        <v>14</v>
      </c>
      <c r="H13" s="18">
        <f>SUMIFS(E:E,C:C,"&gt;="&amp;H12)</f>
        <v>18000</v>
      </c>
    </row>
    <row r="14" spans="1:8">
      <c r="A14" t="s">
        <v>25</v>
      </c>
      <c r="B14" t="s">
        <v>17</v>
      </c>
      <c r="C14" s="4">
        <v>42787</v>
      </c>
      <c r="D14" t="s">
        <v>10</v>
      </c>
      <c r="E14" s="3">
        <v>3000</v>
      </c>
    </row>
    <row r="15" spans="1:8">
      <c r="H15" s="1"/>
    </row>
    <row r="16" spans="1:8">
      <c r="H16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F772-DFD0-4036-8B65-DBF82BF00CE4}">
  <dimension ref="A1:P32"/>
  <sheetViews>
    <sheetView showGridLines="0" tabSelected="1" zoomScale="120" zoomScaleNormal="120" workbookViewId="0">
      <selection activeCell="E33" sqref="E33"/>
    </sheetView>
  </sheetViews>
  <sheetFormatPr defaultRowHeight="14.45"/>
  <cols>
    <col min="1" max="5" width="12.7109375" customWidth="1"/>
    <col min="6" max="6" width="2.7109375" customWidth="1"/>
    <col min="7" max="7" width="4" customWidth="1"/>
    <col min="8" max="14" width="9.7109375" customWidth="1"/>
  </cols>
  <sheetData>
    <row r="1" spans="1:16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spans="1:16">
      <c r="A2" t="s">
        <v>31</v>
      </c>
      <c r="B2" t="s">
        <v>32</v>
      </c>
      <c r="C2" s="4">
        <v>46707</v>
      </c>
      <c r="D2" t="s">
        <v>33</v>
      </c>
      <c r="E2" s="5">
        <v>2204</v>
      </c>
      <c r="G2" s="10">
        <v>1</v>
      </c>
      <c r="H2" s="6" t="s">
        <v>34</v>
      </c>
      <c r="I2" s="6"/>
      <c r="J2" s="6"/>
      <c r="K2" s="6"/>
      <c r="L2" s="6"/>
      <c r="M2" s="6"/>
      <c r="N2" s="6"/>
      <c r="O2" s="6"/>
      <c r="P2" s="6"/>
    </row>
    <row r="3" spans="1:16">
      <c r="A3" t="s">
        <v>35</v>
      </c>
      <c r="B3" t="s">
        <v>32</v>
      </c>
      <c r="C3" s="4">
        <v>46590</v>
      </c>
      <c r="D3" t="s">
        <v>36</v>
      </c>
      <c r="E3" s="5">
        <v>1052</v>
      </c>
    </row>
    <row r="4" spans="1:16">
      <c r="A4" t="s">
        <v>37</v>
      </c>
      <c r="B4" t="s">
        <v>32</v>
      </c>
      <c r="C4" s="4">
        <v>46985</v>
      </c>
      <c r="D4" t="s">
        <v>38</v>
      </c>
      <c r="E4" s="5">
        <v>1856</v>
      </c>
      <c r="H4" s="20">
        <f>SUMIFS(E:E,B:B,"China")</f>
        <v>9236</v>
      </c>
    </row>
    <row r="5" spans="1:16">
      <c r="A5" t="s">
        <v>39</v>
      </c>
      <c r="B5" t="s">
        <v>32</v>
      </c>
      <c r="C5" s="4">
        <v>45721</v>
      </c>
      <c r="D5" t="s">
        <v>40</v>
      </c>
      <c r="E5" s="5">
        <v>2568</v>
      </c>
      <c r="G5" s="1"/>
    </row>
    <row r="6" spans="1:16">
      <c r="A6" t="s">
        <v>41</v>
      </c>
      <c r="B6" t="s">
        <v>32</v>
      </c>
      <c r="C6" s="4">
        <v>47212</v>
      </c>
      <c r="D6" t="s">
        <v>42</v>
      </c>
      <c r="E6" s="5">
        <v>271</v>
      </c>
      <c r="G6" s="10">
        <v>2</v>
      </c>
      <c r="H6" s="6" t="s">
        <v>43</v>
      </c>
      <c r="I6" s="6"/>
      <c r="J6" s="6"/>
      <c r="K6" s="6"/>
      <c r="L6" s="6"/>
      <c r="M6" s="6"/>
      <c r="N6" s="6"/>
      <c r="O6" s="6"/>
      <c r="P6" s="6"/>
    </row>
    <row r="7" spans="1:16">
      <c r="A7" t="s">
        <v>44</v>
      </c>
      <c r="B7" t="s">
        <v>32</v>
      </c>
      <c r="C7" s="4">
        <v>46856</v>
      </c>
      <c r="D7" t="s">
        <v>45</v>
      </c>
      <c r="E7" s="5">
        <v>949</v>
      </c>
    </row>
    <row r="8" spans="1:16">
      <c r="A8" t="s">
        <v>46</v>
      </c>
      <c r="B8" t="s">
        <v>47</v>
      </c>
      <c r="C8" s="4">
        <v>45515</v>
      </c>
      <c r="D8" t="s">
        <v>33</v>
      </c>
      <c r="E8" s="5">
        <v>2391</v>
      </c>
      <c r="H8" s="19">
        <f>SUMIFS(E:E,B:B,"Alemanha",D:D,"Puma")</f>
        <v>271</v>
      </c>
    </row>
    <row r="9" spans="1:16">
      <c r="A9" t="s">
        <v>48</v>
      </c>
      <c r="B9" t="s">
        <v>47</v>
      </c>
      <c r="C9" s="4">
        <v>46579</v>
      </c>
      <c r="D9" t="s">
        <v>36</v>
      </c>
      <c r="E9" s="5">
        <v>2423</v>
      </c>
    </row>
    <row r="10" spans="1:16">
      <c r="A10" t="s">
        <v>49</v>
      </c>
      <c r="B10" t="s">
        <v>47</v>
      </c>
      <c r="C10" s="4">
        <v>45856</v>
      </c>
      <c r="D10" t="s">
        <v>38</v>
      </c>
      <c r="E10" s="5">
        <v>1285</v>
      </c>
      <c r="G10" s="10">
        <v>3</v>
      </c>
      <c r="H10" s="6" t="s">
        <v>50</v>
      </c>
      <c r="I10" s="6"/>
      <c r="J10" s="6"/>
      <c r="K10" s="6"/>
      <c r="L10" s="6"/>
      <c r="M10" s="6"/>
      <c r="N10" s="6"/>
      <c r="O10" s="6"/>
      <c r="P10" s="6"/>
    </row>
    <row r="11" spans="1:16">
      <c r="A11" t="s">
        <v>51</v>
      </c>
      <c r="B11" t="s">
        <v>47</v>
      </c>
      <c r="C11" s="4">
        <v>46706</v>
      </c>
      <c r="D11" t="s">
        <v>40</v>
      </c>
      <c r="E11" s="5">
        <v>802</v>
      </c>
    </row>
    <row r="12" spans="1:16">
      <c r="A12" t="s">
        <v>52</v>
      </c>
      <c r="B12" t="s">
        <v>47</v>
      </c>
      <c r="C12" s="4">
        <v>46677</v>
      </c>
      <c r="D12" t="s">
        <v>42</v>
      </c>
      <c r="E12" s="5">
        <v>1945</v>
      </c>
      <c r="F12" s="1"/>
      <c r="H12" s="20">
        <f>SUMIFS(E:E,C:C,"&gt;=01/01/2028",C:C,"&lt;=31/12/2029")</f>
        <v>10606</v>
      </c>
    </row>
    <row r="13" spans="1:16">
      <c r="A13" t="s">
        <v>53</v>
      </c>
      <c r="B13" t="s">
        <v>47</v>
      </c>
      <c r="C13" s="4">
        <v>46932</v>
      </c>
      <c r="D13" t="s">
        <v>45</v>
      </c>
      <c r="E13" s="5">
        <v>212</v>
      </c>
      <c r="F13" s="1"/>
    </row>
    <row r="14" spans="1:16">
      <c r="A14" t="s">
        <v>54</v>
      </c>
      <c r="B14" t="s">
        <v>55</v>
      </c>
      <c r="C14" s="4">
        <v>45851</v>
      </c>
      <c r="D14" t="s">
        <v>33</v>
      </c>
      <c r="E14" s="5">
        <v>1771</v>
      </c>
      <c r="G14" s="10">
        <v>4</v>
      </c>
      <c r="H14" s="6" t="s">
        <v>56</v>
      </c>
      <c r="I14" s="6"/>
      <c r="J14" s="6"/>
      <c r="K14" s="6"/>
      <c r="L14" s="6"/>
      <c r="M14" s="6"/>
      <c r="N14" s="6"/>
      <c r="O14" s="6"/>
      <c r="P14" s="6"/>
    </row>
    <row r="15" spans="1:16">
      <c r="A15" t="s">
        <v>57</v>
      </c>
      <c r="B15" t="s">
        <v>55</v>
      </c>
      <c r="C15" s="4">
        <v>46931</v>
      </c>
      <c r="D15" t="s">
        <v>36</v>
      </c>
      <c r="E15" s="5">
        <v>1423</v>
      </c>
    </row>
    <row r="16" spans="1:16">
      <c r="A16" t="s">
        <v>58</v>
      </c>
      <c r="B16" t="s">
        <v>55</v>
      </c>
      <c r="C16" s="4">
        <v>46037</v>
      </c>
      <c r="D16" t="s">
        <v>38</v>
      </c>
      <c r="E16" s="5">
        <v>1457</v>
      </c>
      <c r="H16" s="11" t="s">
        <v>59</v>
      </c>
      <c r="I16" s="7" t="s">
        <v>33</v>
      </c>
      <c r="J16" s="7" t="s">
        <v>36</v>
      </c>
      <c r="K16" s="7" t="s">
        <v>38</v>
      </c>
      <c r="L16" s="7" t="s">
        <v>40</v>
      </c>
      <c r="M16" s="7" t="s">
        <v>42</v>
      </c>
      <c r="N16" s="7" t="s">
        <v>45</v>
      </c>
    </row>
    <row r="17" spans="1:14">
      <c r="A17" t="s">
        <v>60</v>
      </c>
      <c r="B17" t="s">
        <v>55</v>
      </c>
      <c r="C17" s="4">
        <v>47504</v>
      </c>
      <c r="D17" t="s">
        <v>40</v>
      </c>
      <c r="E17" s="5">
        <v>2528</v>
      </c>
      <c r="H17" s="8" t="s">
        <v>32</v>
      </c>
      <c r="I17" s="9">
        <f>SUMIFS($E:$E,$D:$D,I$16,$B:$B,$H17)</f>
        <v>2204</v>
      </c>
      <c r="J17" s="9">
        <f>SUMIFS($E:$E,$D:$D,J$16,$B:$B,$H17)</f>
        <v>1052</v>
      </c>
      <c r="K17" s="9">
        <f t="shared" ref="K17:N21" si="0">SUMIFS($E:$E,$D:$D,K$16,$B:$B,$H17)</f>
        <v>1856</v>
      </c>
      <c r="L17" s="9">
        <f t="shared" si="0"/>
        <v>2568</v>
      </c>
      <c r="M17" s="9">
        <f t="shared" si="0"/>
        <v>271</v>
      </c>
      <c r="N17" s="9">
        <f t="shared" si="0"/>
        <v>949</v>
      </c>
    </row>
    <row r="18" spans="1:14">
      <c r="A18" t="s">
        <v>61</v>
      </c>
      <c r="B18" t="s">
        <v>55</v>
      </c>
      <c r="C18" s="4">
        <v>46173</v>
      </c>
      <c r="D18" t="s">
        <v>42</v>
      </c>
      <c r="E18" s="5">
        <v>603</v>
      </c>
      <c r="H18" s="8" t="s">
        <v>47</v>
      </c>
      <c r="I18" s="9">
        <f t="shared" ref="I18:J21" si="1">SUMIFS($E:$E,$D:$D,I$16,$B:$B,$H18)</f>
        <v>2391</v>
      </c>
      <c r="J18" s="9">
        <f t="shared" si="1"/>
        <v>2423</v>
      </c>
      <c r="K18" s="9">
        <f t="shared" si="0"/>
        <v>11285</v>
      </c>
      <c r="L18" s="9">
        <f t="shared" si="0"/>
        <v>802</v>
      </c>
      <c r="M18" s="9">
        <f t="shared" si="0"/>
        <v>1945</v>
      </c>
      <c r="N18" s="9">
        <f t="shared" si="0"/>
        <v>212</v>
      </c>
    </row>
    <row r="19" spans="1:14">
      <c r="A19" t="s">
        <v>62</v>
      </c>
      <c r="B19" t="s">
        <v>55</v>
      </c>
      <c r="C19" s="4">
        <v>46405</v>
      </c>
      <c r="D19" t="s">
        <v>45</v>
      </c>
      <c r="E19" s="5">
        <v>1454</v>
      </c>
      <c r="H19" s="8" t="s">
        <v>55</v>
      </c>
      <c r="I19" s="9">
        <f t="shared" si="1"/>
        <v>1771</v>
      </c>
      <c r="J19" s="9">
        <f t="shared" si="1"/>
        <v>1423</v>
      </c>
      <c r="K19" s="9">
        <f t="shared" si="0"/>
        <v>1457</v>
      </c>
      <c r="L19" s="9">
        <f t="shared" si="0"/>
        <v>2528</v>
      </c>
      <c r="M19" s="9">
        <f t="shared" si="0"/>
        <v>603</v>
      </c>
      <c r="N19" s="9">
        <f>SUMIFS($E:$E,$D:$D,N$16,$B:$B,$H19)</f>
        <v>1454</v>
      </c>
    </row>
    <row r="20" spans="1:14">
      <c r="A20" t="s">
        <v>63</v>
      </c>
      <c r="B20" t="s">
        <v>64</v>
      </c>
      <c r="C20" s="4">
        <v>46697</v>
      </c>
      <c r="D20" t="s">
        <v>33</v>
      </c>
      <c r="E20" s="5">
        <v>1760</v>
      </c>
      <c r="H20" s="8" t="s">
        <v>64</v>
      </c>
      <c r="I20" s="9">
        <f t="shared" si="1"/>
        <v>1760</v>
      </c>
      <c r="J20" s="9">
        <f t="shared" si="1"/>
        <v>205</v>
      </c>
      <c r="K20" s="9">
        <f t="shared" si="0"/>
        <v>1703</v>
      </c>
      <c r="L20" s="9">
        <f t="shared" si="0"/>
        <v>2266</v>
      </c>
      <c r="M20" s="9">
        <f t="shared" si="0"/>
        <v>733</v>
      </c>
      <c r="N20" s="9">
        <f t="shared" si="0"/>
        <v>2181</v>
      </c>
    </row>
    <row r="21" spans="1:14">
      <c r="A21" t="s">
        <v>65</v>
      </c>
      <c r="B21" t="s">
        <v>64</v>
      </c>
      <c r="C21" s="4">
        <v>45490</v>
      </c>
      <c r="D21" t="s">
        <v>36</v>
      </c>
      <c r="E21" s="5">
        <v>205</v>
      </c>
      <c r="H21" s="8" t="s">
        <v>66</v>
      </c>
      <c r="I21" s="9">
        <f t="shared" si="1"/>
        <v>293</v>
      </c>
      <c r="J21" s="9">
        <f t="shared" si="1"/>
        <v>2397</v>
      </c>
      <c r="K21" s="9">
        <f t="shared" si="0"/>
        <v>2340</v>
      </c>
      <c r="L21" s="9">
        <f t="shared" si="0"/>
        <v>865</v>
      </c>
      <c r="M21" s="9">
        <f t="shared" si="0"/>
        <v>229</v>
      </c>
      <c r="N21" s="9">
        <f t="shared" si="0"/>
        <v>2811</v>
      </c>
    </row>
    <row r="22" spans="1:14">
      <c r="A22" t="s">
        <v>67</v>
      </c>
      <c r="B22" t="s">
        <v>64</v>
      </c>
      <c r="C22" s="4">
        <v>45364</v>
      </c>
      <c r="D22" t="s">
        <v>38</v>
      </c>
      <c r="E22" s="5">
        <v>1703</v>
      </c>
    </row>
    <row r="23" spans="1:14">
      <c r="A23" t="s">
        <v>68</v>
      </c>
      <c r="B23" t="s">
        <v>64</v>
      </c>
      <c r="C23" s="4">
        <v>47750</v>
      </c>
      <c r="D23" t="s">
        <v>40</v>
      </c>
      <c r="E23" s="5">
        <v>2266</v>
      </c>
    </row>
    <row r="24" spans="1:14">
      <c r="A24" t="s">
        <v>69</v>
      </c>
      <c r="B24" t="s">
        <v>64</v>
      </c>
      <c r="C24" s="4">
        <v>47693</v>
      </c>
      <c r="D24" t="s">
        <v>42</v>
      </c>
      <c r="E24" s="5">
        <v>733</v>
      </c>
    </row>
    <row r="25" spans="1:14">
      <c r="A25" t="s">
        <v>70</v>
      </c>
      <c r="B25" t="s">
        <v>64</v>
      </c>
      <c r="C25" s="4">
        <v>45702</v>
      </c>
      <c r="D25" t="s">
        <v>45</v>
      </c>
      <c r="E25" s="5">
        <v>2181</v>
      </c>
    </row>
    <row r="26" spans="1:14">
      <c r="A26" t="s">
        <v>71</v>
      </c>
      <c r="B26" t="s">
        <v>66</v>
      </c>
      <c r="C26" s="4">
        <v>46768</v>
      </c>
      <c r="D26" t="s">
        <v>33</v>
      </c>
      <c r="E26" s="5">
        <v>293</v>
      </c>
    </row>
    <row r="27" spans="1:14">
      <c r="A27" t="s">
        <v>72</v>
      </c>
      <c r="B27" t="s">
        <v>66</v>
      </c>
      <c r="C27" s="4">
        <v>46813</v>
      </c>
      <c r="D27" t="s">
        <v>36</v>
      </c>
      <c r="E27" s="5">
        <v>2397</v>
      </c>
    </row>
    <row r="28" spans="1:14">
      <c r="A28" t="s">
        <v>73</v>
      </c>
      <c r="B28" t="s">
        <v>66</v>
      </c>
      <c r="C28" s="4">
        <v>46769</v>
      </c>
      <c r="D28" t="s">
        <v>38</v>
      </c>
      <c r="E28" s="5">
        <v>2340</v>
      </c>
    </row>
    <row r="29" spans="1:14">
      <c r="A29" t="s">
        <v>74</v>
      </c>
      <c r="B29" t="s">
        <v>66</v>
      </c>
      <c r="C29" s="4">
        <v>47033</v>
      </c>
      <c r="D29" t="s">
        <v>40</v>
      </c>
      <c r="E29" s="5">
        <v>865</v>
      </c>
    </row>
    <row r="30" spans="1:14">
      <c r="A30" t="s">
        <v>75</v>
      </c>
      <c r="B30" t="s">
        <v>66</v>
      </c>
      <c r="C30" s="4">
        <v>45380</v>
      </c>
      <c r="D30" t="s">
        <v>42</v>
      </c>
      <c r="E30" s="5">
        <v>229</v>
      </c>
    </row>
    <row r="31" spans="1:14">
      <c r="A31" t="s">
        <v>76</v>
      </c>
      <c r="B31" t="s">
        <v>66</v>
      </c>
      <c r="C31" s="4">
        <v>45557</v>
      </c>
      <c r="D31" t="s">
        <v>45</v>
      </c>
      <c r="E31" s="5">
        <v>2811</v>
      </c>
    </row>
    <row r="32" spans="1:14">
      <c r="A32" t="s">
        <v>77</v>
      </c>
      <c r="B32" t="s">
        <v>47</v>
      </c>
      <c r="C32" s="4">
        <v>45856</v>
      </c>
      <c r="D32" t="s">
        <v>38</v>
      </c>
      <c r="E32" s="5">
        <v>10000</v>
      </c>
    </row>
  </sheetData>
  <autoFilter ref="A1:E31" xr:uid="{29FEF772-DFD0-4036-8B65-DBF82BF00CE4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 Ferreira Martins</dc:creator>
  <cp:keywords/>
  <dc:description/>
  <cp:lastModifiedBy/>
  <cp:revision/>
  <dcterms:created xsi:type="dcterms:W3CDTF">2020-11-30T18:02:51Z</dcterms:created>
  <dcterms:modified xsi:type="dcterms:W3CDTF">2026-08-08T14:39:57Z</dcterms:modified>
  <cp:category/>
  <cp:contentStatus/>
</cp:coreProperties>
</file>