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1BFB061D-46B1-4B28-89E6-68A20A4D4381}" xr6:coauthVersionLast="47" xr6:coauthVersionMax="47" xr10:uidLastSave="{00000000-0000-0000-0000-000000000000}"/>
  <bookViews>
    <workbookView xWindow="-108" yWindow="-108" windowWidth="23256" windowHeight="13176" activeTab="4" xr2:uid="{90D394A7-0334-4363-9DA1-420D95C76B52}"/>
  </bookViews>
  <sheets>
    <sheet name="PROCX1" sheetId="2" r:id="rId1"/>
    <sheet name="PROCX2" sheetId="6" r:id="rId2"/>
    <sheet name="PROCX3" sheetId="7" r:id="rId3"/>
    <sheet name="PROCX4" sheetId="5" r:id="rId4"/>
    <sheet name="PROCX5" sheetId="8" r:id="rId5"/>
  </sheets>
  <definedNames>
    <definedName name="_xlnm._FilterDatabase" localSheetId="0" hidden="1">PROCX1!$B$1:$D$309</definedName>
    <definedName name="_xlnm._FilterDatabase" localSheetId="1" hidden="1">PROCX2!$B$1:$E$309</definedName>
    <definedName name="_xlnm._FilterDatabase" localSheetId="2" hidden="1">PROCX3!$A$1:$D$101</definedName>
    <definedName name="_xlnm._FilterDatabase" localSheetId="3" hidden="1">PROCX4!$A$1:$D$500</definedName>
    <definedName name="_xlnm._FilterDatabase" localSheetId="4" hidden="1">PROCX5!$A$1:$D$500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 a="1"/>
  <c r="I4" i="8"/>
  <c r="I3" i="8" a="1"/>
  <c r="I3" i="8"/>
  <c r="I2" i="8" a="1"/>
  <c r="I2" i="8"/>
  <c r="G9" i="5"/>
  <c r="G8" i="5"/>
  <c r="G5" i="5"/>
  <c r="G4" i="5"/>
  <c r="G7" i="5"/>
  <c r="G3" i="5"/>
  <c r="H10" i="7"/>
  <c r="H5" i="6"/>
  <c r="H2" i="6"/>
  <c r="H2" i="2"/>
  <c r="G2" i="2"/>
  <c r="H12" i="7" l="1"/>
  <c r="H13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<sst xmlns="http://schemas.openxmlformats.org/spreadsheetml/2006/main" count="1225" uniqueCount="302">
  <si>
    <t>Produto</t>
  </si>
  <si>
    <t>Código</t>
  </si>
  <si>
    <t>Estoque</t>
  </si>
  <si>
    <t>Marca</t>
  </si>
  <si>
    <t>Produto 1</t>
  </si>
  <si>
    <t>H9699</t>
  </si>
  <si>
    <t>Delta</t>
  </si>
  <si>
    <t>H9486</t>
  </si>
  <si>
    <t>Produto 2</t>
  </si>
  <si>
    <t>H4124</t>
  </si>
  <si>
    <t>Beta</t>
  </si>
  <si>
    <t>Produto 3</t>
  </si>
  <si>
    <t>H9159</t>
  </si>
  <si>
    <t>Alpha</t>
  </si>
  <si>
    <t>Produto 4</t>
  </si>
  <si>
    <t>H5182</t>
  </si>
  <si>
    <t>Produto 5</t>
  </si>
  <si>
    <t>H8546</t>
  </si>
  <si>
    <t>Produto 6</t>
  </si>
  <si>
    <t>H2689</t>
  </si>
  <si>
    <t>Produto 7</t>
  </si>
  <si>
    <t>H6241</t>
  </si>
  <si>
    <t>Produto 8</t>
  </si>
  <si>
    <t>H5151</t>
  </si>
  <si>
    <t>Produto 9</t>
  </si>
  <si>
    <t>H2124</t>
  </si>
  <si>
    <t>Produto 10</t>
  </si>
  <si>
    <t>H1816</t>
  </si>
  <si>
    <t>Produto 11</t>
  </si>
  <si>
    <t>H5322</t>
  </si>
  <si>
    <t>Produto 12</t>
  </si>
  <si>
    <t>H9287</t>
  </si>
  <si>
    <t>Produto 13</t>
  </si>
  <si>
    <t>H1935</t>
  </si>
  <si>
    <t>Produto 14</t>
  </si>
  <si>
    <t>H7898</t>
  </si>
  <si>
    <t>Produto 15</t>
  </si>
  <si>
    <t>H8237</t>
  </si>
  <si>
    <t>Produto 16</t>
  </si>
  <si>
    <t>H1186</t>
  </si>
  <si>
    <t>Produto 17</t>
  </si>
  <si>
    <t>H7655</t>
  </si>
  <si>
    <t>Produto 18</t>
  </si>
  <si>
    <t>H8884</t>
  </si>
  <si>
    <t>Produto 19</t>
  </si>
  <si>
    <t>H7141</t>
  </si>
  <si>
    <t>Produto 20</t>
  </si>
  <si>
    <t>H6586</t>
  </si>
  <si>
    <t>Produto 21</t>
  </si>
  <si>
    <t>Produto 22</t>
  </si>
  <si>
    <t>H1842</t>
  </si>
  <si>
    <t>Produto 23</t>
  </si>
  <si>
    <t>H6347</t>
  </si>
  <si>
    <t>Produto 24</t>
  </si>
  <si>
    <t>H9426</t>
  </si>
  <si>
    <t>Produto 25</t>
  </si>
  <si>
    <t>H7665</t>
  </si>
  <si>
    <t>Produto 26</t>
  </si>
  <si>
    <t>H1844</t>
  </si>
  <si>
    <t>Produto 27</t>
  </si>
  <si>
    <t>H3976</t>
  </si>
  <si>
    <t>Produto 28</t>
  </si>
  <si>
    <t>H8696</t>
  </si>
  <si>
    <t>Produto 29</t>
  </si>
  <si>
    <t>H1432</t>
  </si>
  <si>
    <t>Produto 30</t>
  </si>
  <si>
    <t>H5574</t>
  </si>
  <si>
    <t>Produto 31</t>
  </si>
  <si>
    <t>H4892</t>
  </si>
  <si>
    <t>Produto 32</t>
  </si>
  <si>
    <t>H4973</t>
  </si>
  <si>
    <t>Produto 33</t>
  </si>
  <si>
    <t>H6628</t>
  </si>
  <si>
    <t>Produto 34</t>
  </si>
  <si>
    <t>H5613</t>
  </si>
  <si>
    <t>Produto 35</t>
  </si>
  <si>
    <t>H2297</t>
  </si>
  <si>
    <t>Produto 36</t>
  </si>
  <si>
    <t>H8993</t>
  </si>
  <si>
    <t>Produto 37</t>
  </si>
  <si>
    <t>H1467</t>
  </si>
  <si>
    <t>Produto 38</t>
  </si>
  <si>
    <t>H2417</t>
  </si>
  <si>
    <t>Produto 39</t>
  </si>
  <si>
    <t>H1499</t>
  </si>
  <si>
    <t>Produto 40</t>
  </si>
  <si>
    <t>H6936</t>
  </si>
  <si>
    <t>Produto 41</t>
  </si>
  <si>
    <t>H7251</t>
  </si>
  <si>
    <t>Produto 42</t>
  </si>
  <si>
    <t>H7257</t>
  </si>
  <si>
    <t>Produto 43</t>
  </si>
  <si>
    <t>H3468</t>
  </si>
  <si>
    <t>Produto 44</t>
  </si>
  <si>
    <t>H6561</t>
  </si>
  <si>
    <t>Produto 45</t>
  </si>
  <si>
    <t>H3366</t>
  </si>
  <si>
    <t>Produto 46</t>
  </si>
  <si>
    <t>H4864</t>
  </si>
  <si>
    <t>Produto 47</t>
  </si>
  <si>
    <t>H8918</t>
  </si>
  <si>
    <t>Produto 48</t>
  </si>
  <si>
    <t>H8815</t>
  </si>
  <si>
    <t>Produto 49</t>
  </si>
  <si>
    <t>H9869</t>
  </si>
  <si>
    <t>Produto 50</t>
  </si>
  <si>
    <t>H3227</t>
  </si>
  <si>
    <t>Produto 51</t>
  </si>
  <si>
    <t>H4863</t>
  </si>
  <si>
    <t>Produto 52</t>
  </si>
  <si>
    <t>H4487</t>
  </si>
  <si>
    <t>Produto 53</t>
  </si>
  <si>
    <t>H5788</t>
  </si>
  <si>
    <t>Produto 54</t>
  </si>
  <si>
    <t>H6924</t>
  </si>
  <si>
    <t>Produto 55</t>
  </si>
  <si>
    <t>H4777</t>
  </si>
  <si>
    <t>Produto 56</t>
  </si>
  <si>
    <t>H7264</t>
  </si>
  <si>
    <t>Produto 57</t>
  </si>
  <si>
    <t>H4455</t>
  </si>
  <si>
    <t>Produto 58</t>
  </si>
  <si>
    <t>H3393</t>
  </si>
  <si>
    <t>Produto 59</t>
  </si>
  <si>
    <t>H2641</t>
  </si>
  <si>
    <t>Produto 60</t>
  </si>
  <si>
    <t>H4758</t>
  </si>
  <si>
    <t>Produto 61</t>
  </si>
  <si>
    <t>H5417</t>
  </si>
  <si>
    <t>Produto 62</t>
  </si>
  <si>
    <t>H7368</t>
  </si>
  <si>
    <t>Produto 63</t>
  </si>
  <si>
    <t>H5259</t>
  </si>
  <si>
    <t>Produto 64</t>
  </si>
  <si>
    <t>H2697</t>
  </si>
  <si>
    <t>Produto 65</t>
  </si>
  <si>
    <t>H5183</t>
  </si>
  <si>
    <t>Produto 66</t>
  </si>
  <si>
    <t>H9747</t>
  </si>
  <si>
    <t>Produto 67</t>
  </si>
  <si>
    <t>H1674</t>
  </si>
  <si>
    <t>Produto 68</t>
  </si>
  <si>
    <t>H2424</t>
  </si>
  <si>
    <t>Produto 69</t>
  </si>
  <si>
    <t>H2783</t>
  </si>
  <si>
    <t>Produto 70</t>
  </si>
  <si>
    <t>H8413</t>
  </si>
  <si>
    <t>Produto 71</t>
  </si>
  <si>
    <t>H2274</t>
  </si>
  <si>
    <t>Produto 72</t>
  </si>
  <si>
    <t>H9217</t>
  </si>
  <si>
    <t>Produto 73</t>
  </si>
  <si>
    <t>H3989</t>
  </si>
  <si>
    <t>Produto 74</t>
  </si>
  <si>
    <t>H2925</t>
  </si>
  <si>
    <t>Produto 75</t>
  </si>
  <si>
    <t>H2161</t>
  </si>
  <si>
    <t>Produto 76</t>
  </si>
  <si>
    <t>H3561</t>
  </si>
  <si>
    <t>Produto 77</t>
  </si>
  <si>
    <t>H1852</t>
  </si>
  <si>
    <t>Produto 78</t>
  </si>
  <si>
    <t>H5167</t>
  </si>
  <si>
    <t>Produto 79</t>
  </si>
  <si>
    <t>H8198</t>
  </si>
  <si>
    <t>Produto 80</t>
  </si>
  <si>
    <t>H5841</t>
  </si>
  <si>
    <t>Produto 81</t>
  </si>
  <si>
    <t>H6727</t>
  </si>
  <si>
    <t>Produto 82</t>
  </si>
  <si>
    <t>H4679</t>
  </si>
  <si>
    <t>Produto 83</t>
  </si>
  <si>
    <t>H3323</t>
  </si>
  <si>
    <t>Produto 84</t>
  </si>
  <si>
    <t>H6454</t>
  </si>
  <si>
    <t>Produto 85</t>
  </si>
  <si>
    <t>H7614</t>
  </si>
  <si>
    <t>Produto 86</t>
  </si>
  <si>
    <t>H2189</t>
  </si>
  <si>
    <t>Produto 87</t>
  </si>
  <si>
    <t>H8439</t>
  </si>
  <si>
    <t>Produto 88</t>
  </si>
  <si>
    <t>H2352</t>
  </si>
  <si>
    <t>Produto 89</t>
  </si>
  <si>
    <t>H4776</t>
  </si>
  <si>
    <t>Produto 90</t>
  </si>
  <si>
    <t>H4633</t>
  </si>
  <si>
    <t>Produto 91</t>
  </si>
  <si>
    <t>H6151</t>
  </si>
  <si>
    <t>Produto 92</t>
  </si>
  <si>
    <t>H5484</t>
  </si>
  <si>
    <t>Produto 93</t>
  </si>
  <si>
    <t>H5888</t>
  </si>
  <si>
    <t>Produto 94</t>
  </si>
  <si>
    <t>H1418</t>
  </si>
  <si>
    <t>Produto 95</t>
  </si>
  <si>
    <t>H3995</t>
  </si>
  <si>
    <t>Produto 96</t>
  </si>
  <si>
    <t>H4492</t>
  </si>
  <si>
    <t>Produto 97</t>
  </si>
  <si>
    <t>H2383</t>
  </si>
  <si>
    <t>Produto 98</t>
  </si>
  <si>
    <t>H4138</t>
  </si>
  <si>
    <t>Produto 99</t>
  </si>
  <si>
    <t>H2391</t>
  </si>
  <si>
    <t>Produto 100</t>
  </si>
  <si>
    <t>H9434</t>
  </si>
  <si>
    <t>Código1</t>
  </si>
  <si>
    <t>Código2</t>
  </si>
  <si>
    <t>O7419</t>
  </si>
  <si>
    <t>L5213</t>
  </si>
  <si>
    <t>V6995</t>
  </si>
  <si>
    <t>O1496</t>
  </si>
  <si>
    <t>L9361</t>
  </si>
  <si>
    <t>L5221</t>
  </si>
  <si>
    <t>O1193</t>
  </si>
  <si>
    <t>K6331</t>
  </si>
  <si>
    <t>K3227</t>
  </si>
  <si>
    <t>O8194</t>
  </si>
  <si>
    <t>V5889</t>
  </si>
  <si>
    <t>L8539</t>
  </si>
  <si>
    <t>Mínimo</t>
  </si>
  <si>
    <t>Máximo</t>
  </si>
  <si>
    <t>Nível</t>
  </si>
  <si>
    <t>Nível A</t>
  </si>
  <si>
    <t>Nível B</t>
  </si>
  <si>
    <t>Nível C</t>
  </si>
  <si>
    <t>Nível D</t>
  </si>
  <si>
    <t>Nível E</t>
  </si>
  <si>
    <t>-</t>
  </si>
  <si>
    <t>Nível F</t>
  </si>
  <si>
    <t>Dentre os menores, o maior</t>
  </si>
  <si>
    <t>Dentre os maiores, o menor</t>
  </si>
  <si>
    <t>Data Entrada</t>
  </si>
  <si>
    <t>Projeto</t>
  </si>
  <si>
    <t>Funcionário</t>
  </si>
  <si>
    <t>Status</t>
  </si>
  <si>
    <t>Pedro Martins</t>
  </si>
  <si>
    <t>Luiza Melo</t>
  </si>
  <si>
    <t>Projeto 30</t>
  </si>
  <si>
    <t>Concluído</t>
  </si>
  <si>
    <t>Rebeca Dias</t>
  </si>
  <si>
    <t>Projeto 32</t>
  </si>
  <si>
    <t>Fernado Torres</t>
  </si>
  <si>
    <r>
      <t>Projeto</t>
    </r>
    <r>
      <rPr>
        <b/>
        <sz val="12"/>
        <color theme="1"/>
        <rFont val="Calibri"/>
        <family val="2"/>
        <scheme val="minor"/>
      </rPr>
      <t xml:space="preserve"> Inicial</t>
    </r>
  </si>
  <si>
    <t>Projeto 8</t>
  </si>
  <si>
    <t>Nota Fiscal</t>
  </si>
  <si>
    <t>Projeto 29</t>
  </si>
  <si>
    <t>Negociando</t>
  </si>
  <si>
    <t>Projeto 36</t>
  </si>
  <si>
    <t>Projeto 14</t>
  </si>
  <si>
    <r>
      <t>Projeto</t>
    </r>
    <r>
      <rPr>
        <b/>
        <sz val="12"/>
        <color theme="1"/>
        <rFont val="Calibri"/>
        <family val="2"/>
        <scheme val="minor"/>
      </rPr>
      <t xml:space="preserve"> Final</t>
    </r>
  </si>
  <si>
    <t>Projeto 12</t>
  </si>
  <si>
    <t>Projeto 49</t>
  </si>
  <si>
    <t>Projeto 11</t>
  </si>
  <si>
    <t>Projeto 15</t>
  </si>
  <si>
    <t>Projeto 31</t>
  </si>
  <si>
    <t>Encerrado</t>
  </si>
  <si>
    <t>Projeto 42</t>
  </si>
  <si>
    <t>Projeto 10</t>
  </si>
  <si>
    <t>Projeto 45</t>
  </si>
  <si>
    <t>Projeto 7</t>
  </si>
  <si>
    <t>Projeto 13</t>
  </si>
  <si>
    <t>Projeto 4</t>
  </si>
  <si>
    <t>Projeto 2</t>
  </si>
  <si>
    <t>Projeto 23</t>
  </si>
  <si>
    <t>Projeto 6</t>
  </si>
  <si>
    <t>Projeto 22</t>
  </si>
  <si>
    <t>Projeto 47</t>
  </si>
  <si>
    <t>Contrato</t>
  </si>
  <si>
    <t>Projeto 37</t>
  </si>
  <si>
    <t>Projeto 46</t>
  </si>
  <si>
    <t>Projeto 48</t>
  </si>
  <si>
    <t>Projeto 19</t>
  </si>
  <si>
    <t>Projeto 16</t>
  </si>
  <si>
    <t>Projeto 26</t>
  </si>
  <si>
    <t>Projeto 43</t>
  </si>
  <si>
    <t>Projeto 33</t>
  </si>
  <si>
    <t>Projeto 21</t>
  </si>
  <si>
    <t>Projeto 25</t>
  </si>
  <si>
    <t>Projeto 27</t>
  </si>
  <si>
    <t>Projeto 1</t>
  </si>
  <si>
    <t>Projeto 28</t>
  </si>
  <si>
    <t>Projeto 39</t>
  </si>
  <si>
    <t>Projeto 38</t>
  </si>
  <si>
    <t>Projeto 17</t>
  </si>
  <si>
    <t>Projeto 24</t>
  </si>
  <si>
    <t>Projeto 18</t>
  </si>
  <si>
    <t>Projeto 20</t>
  </si>
  <si>
    <t>Projeto 5</t>
  </si>
  <si>
    <t>Projeto 34</t>
  </si>
  <si>
    <t>Projeto 35</t>
  </si>
  <si>
    <t>Projeto 3</t>
  </si>
  <si>
    <t>Projeto 44</t>
  </si>
  <si>
    <t>Projeto 41</t>
  </si>
  <si>
    <t>Projeto 9</t>
  </si>
  <si>
    <t>Projeto 40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</si>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</sst>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#,##0"/>
    <numFmt numFmtId="165" formatCode="&quot;R$&quot;\ #,##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 applyBorder="1"/>
    <xf numFmtId="164" fontId="2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/>
    </xf>
    <xf numFmtId="0" fontId="4" fillId="2" borderId="0" xfId="0" applyFont="1" applyFill="1" applyBorder="1"/>
    <xf numFmtId="0" fontId="6" fillId="3" borderId="0" xfId="0" applyFont="1" applyFill="1" applyBorder="1" applyAlignment="1">
      <alignment horizontal="left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" fontId="2" fillId="0" borderId="0" xfId="0" applyNumberFormat="1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6" fontId="2" fillId="0" borderId="1" xfId="1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6" fontId="6" fillId="3" borderId="0" xfId="1" applyNumberFormat="1" applyFont="1" applyFill="1" applyBorder="1" applyAlignment="1">
      <alignment horizontal="left"/>
    </xf>
    <xf numFmtId="165" fontId="2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/>
    </xf>
    <xf numFmtId="165" fontId="2" fillId="7" borderId="1" xfId="0" applyNumberFormat="1" applyFont="1" applyFill="1" applyBorder="1" applyAlignment="1">
      <alignment horizontal="center"/>
    </xf>
    <xf numFmtId="0" fontId="6" fillId="8" borderId="2" xfId="0" applyFont="1" applyFill="1" applyBorder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Branco" pivot="0" count="0" xr9:uid="{15BA5A51-DA0D-41E5-8132-874F33F87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EF98-FC10-4422-B0BD-9E97AD3F071B}">
  <dimension ref="A1:H309"/>
  <sheetViews>
    <sheetView showGridLines="0" zoomScale="120" zoomScaleNormal="120" workbookViewId="0">
      <selection activeCell="B22" sqref="B22"/>
    </sheetView>
  </sheetViews>
  <sheetFormatPr defaultColWidth="9.140625" defaultRowHeight="15.6"/>
  <cols>
    <col min="1" max="4" width="13.5703125" style="9" customWidth="1"/>
    <col min="5" max="5" width="9.140625" style="1"/>
    <col min="6" max="8" width="15" style="1" customWidth="1"/>
    <col min="9" max="16384" width="9.140625" style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F1" s="4" t="s">
        <v>1</v>
      </c>
      <c r="G1" s="13" t="s">
        <v>2</v>
      </c>
      <c r="H1" s="13" t="s">
        <v>0</v>
      </c>
    </row>
    <row r="2" spans="1:8">
      <c r="A2" s="8" t="s">
        <v>4</v>
      </c>
      <c r="B2" s="1" t="s">
        <v>5</v>
      </c>
      <c r="C2" s="10">
        <v>2434</v>
      </c>
      <c r="D2" s="8" t="s">
        <v>6</v>
      </c>
      <c r="F2" s="12" t="s">
        <v>7</v>
      </c>
      <c r="G2" s="11">
        <f>_xlfn.XLOOKUP(F2,B:B,C:C,"Não Encontrado")</f>
        <v>819</v>
      </c>
      <c r="H2" s="2" t="str">
        <f>_xlfn.XLOOKUP(F2,B:B,A:A,"Não Encontrado")</f>
        <v>Produto 21</v>
      </c>
    </row>
    <row r="3" spans="1:8">
      <c r="A3" s="8" t="s">
        <v>8</v>
      </c>
      <c r="B3" s="1" t="s">
        <v>9</v>
      </c>
      <c r="C3" s="10">
        <v>8222</v>
      </c>
      <c r="D3" s="8" t="s">
        <v>10</v>
      </c>
    </row>
    <row r="4" spans="1:8">
      <c r="A4" s="8" t="s">
        <v>11</v>
      </c>
      <c r="B4" s="1" t="s">
        <v>12</v>
      </c>
      <c r="C4" s="10">
        <v>1016</v>
      </c>
      <c r="D4" s="8" t="s">
        <v>13</v>
      </c>
    </row>
    <row r="5" spans="1:8">
      <c r="A5" s="8" t="s">
        <v>14</v>
      </c>
      <c r="B5" s="1" t="s">
        <v>15</v>
      </c>
      <c r="C5" s="10">
        <v>6531</v>
      </c>
      <c r="D5" s="8" t="s">
        <v>13</v>
      </c>
    </row>
    <row r="6" spans="1:8">
      <c r="A6" s="8" t="s">
        <v>16</v>
      </c>
      <c r="B6" s="1" t="s">
        <v>17</v>
      </c>
      <c r="C6" s="10">
        <v>8521</v>
      </c>
      <c r="D6" s="8" t="s">
        <v>10</v>
      </c>
    </row>
    <row r="7" spans="1:8">
      <c r="A7" s="8" t="s">
        <v>18</v>
      </c>
      <c r="B7" s="1" t="s">
        <v>19</v>
      </c>
      <c r="C7" s="10">
        <v>2924</v>
      </c>
      <c r="D7" s="8" t="s">
        <v>10</v>
      </c>
    </row>
    <row r="8" spans="1:8">
      <c r="A8" s="8" t="s">
        <v>20</v>
      </c>
      <c r="B8" s="1" t="s">
        <v>21</v>
      </c>
      <c r="C8" s="10">
        <v>1232</v>
      </c>
      <c r="D8" s="8" t="s">
        <v>6</v>
      </c>
    </row>
    <row r="9" spans="1:8">
      <c r="A9" s="8" t="s">
        <v>22</v>
      </c>
      <c r="B9" s="1" t="s">
        <v>23</v>
      </c>
      <c r="C9" s="10">
        <v>948</v>
      </c>
      <c r="D9" s="8" t="s">
        <v>6</v>
      </c>
    </row>
    <row r="10" spans="1:8">
      <c r="A10" s="8" t="s">
        <v>24</v>
      </c>
      <c r="B10" s="1" t="s">
        <v>25</v>
      </c>
      <c r="C10" s="10">
        <v>1750</v>
      </c>
      <c r="D10" s="8" t="s">
        <v>10</v>
      </c>
    </row>
    <row r="11" spans="1:8">
      <c r="A11" s="8" t="s">
        <v>26</v>
      </c>
      <c r="B11" s="1" t="s">
        <v>27</v>
      </c>
      <c r="C11" s="10">
        <v>7918</v>
      </c>
      <c r="D11" s="8" t="s">
        <v>10</v>
      </c>
    </row>
    <row r="12" spans="1:8">
      <c r="A12" s="8" t="s">
        <v>28</v>
      </c>
      <c r="B12" s="1" t="s">
        <v>29</v>
      </c>
      <c r="C12" s="10">
        <v>1370</v>
      </c>
      <c r="D12" s="8" t="s">
        <v>6</v>
      </c>
    </row>
    <row r="13" spans="1:8">
      <c r="A13" s="8" t="s">
        <v>30</v>
      </c>
      <c r="B13" s="1" t="s">
        <v>31</v>
      </c>
      <c r="C13" s="10">
        <v>9365</v>
      </c>
      <c r="D13" s="8" t="s">
        <v>13</v>
      </c>
    </row>
    <row r="14" spans="1:8">
      <c r="A14" s="8" t="s">
        <v>32</v>
      </c>
      <c r="B14" s="1" t="s">
        <v>33</v>
      </c>
      <c r="C14" s="10">
        <v>6228</v>
      </c>
      <c r="D14" s="8" t="s">
        <v>13</v>
      </c>
    </row>
    <row r="15" spans="1:8">
      <c r="A15" s="8" t="s">
        <v>34</v>
      </c>
      <c r="B15" s="1" t="s">
        <v>35</v>
      </c>
      <c r="C15" s="10">
        <v>1248</v>
      </c>
      <c r="D15" s="8" t="s">
        <v>10</v>
      </c>
    </row>
    <row r="16" spans="1:8">
      <c r="A16" s="8" t="s">
        <v>36</v>
      </c>
      <c r="B16" s="1" t="s">
        <v>37</v>
      </c>
      <c r="C16" s="10">
        <v>5828</v>
      </c>
      <c r="D16" s="8" t="s">
        <v>13</v>
      </c>
    </row>
    <row r="17" spans="1:4">
      <c r="A17" s="8" t="s">
        <v>38</v>
      </c>
      <c r="B17" s="1" t="s">
        <v>39</v>
      </c>
      <c r="C17" s="10">
        <v>5701</v>
      </c>
      <c r="D17" s="8" t="s">
        <v>10</v>
      </c>
    </row>
    <row r="18" spans="1:4">
      <c r="A18" s="8" t="s">
        <v>40</v>
      </c>
      <c r="B18" s="1" t="s">
        <v>41</v>
      </c>
      <c r="C18" s="10">
        <v>7500</v>
      </c>
      <c r="D18" s="8" t="s">
        <v>13</v>
      </c>
    </row>
    <row r="19" spans="1:4">
      <c r="A19" s="8" t="s">
        <v>42</v>
      </c>
      <c r="B19" s="1" t="s">
        <v>43</v>
      </c>
      <c r="C19" s="10">
        <v>5565</v>
      </c>
      <c r="D19" s="8" t="s">
        <v>6</v>
      </c>
    </row>
    <row r="20" spans="1:4">
      <c r="A20" s="8" t="s">
        <v>44</v>
      </c>
      <c r="B20" s="1" t="s">
        <v>45</v>
      </c>
      <c r="C20" s="10">
        <v>5900</v>
      </c>
      <c r="D20" s="8" t="s">
        <v>10</v>
      </c>
    </row>
    <row r="21" spans="1:4">
      <c r="A21" s="8" t="s">
        <v>46</v>
      </c>
      <c r="B21" s="1" t="s">
        <v>47</v>
      </c>
      <c r="C21" s="10">
        <v>608</v>
      </c>
      <c r="D21" s="8" t="s">
        <v>6</v>
      </c>
    </row>
    <row r="22" spans="1:4">
      <c r="A22" s="8" t="s">
        <v>48</v>
      </c>
      <c r="B22" s="1" t="s">
        <v>7</v>
      </c>
      <c r="C22" s="10">
        <v>819</v>
      </c>
      <c r="D22" s="8" t="s">
        <v>13</v>
      </c>
    </row>
    <row r="23" spans="1:4">
      <c r="A23" s="8" t="s">
        <v>49</v>
      </c>
      <c r="B23" s="1" t="s">
        <v>50</v>
      </c>
      <c r="C23" s="10">
        <v>564</v>
      </c>
      <c r="D23" s="8" t="s">
        <v>13</v>
      </c>
    </row>
    <row r="24" spans="1:4">
      <c r="A24" s="8" t="s">
        <v>51</v>
      </c>
      <c r="B24" s="1" t="s">
        <v>52</v>
      </c>
      <c r="C24" s="10">
        <v>7861</v>
      </c>
      <c r="D24" s="8" t="s">
        <v>6</v>
      </c>
    </row>
    <row r="25" spans="1:4">
      <c r="A25" s="8" t="s">
        <v>53</v>
      </c>
      <c r="B25" s="1" t="s">
        <v>54</v>
      </c>
      <c r="C25" s="10">
        <v>731</v>
      </c>
      <c r="D25" s="8" t="s">
        <v>6</v>
      </c>
    </row>
    <row r="26" spans="1:4">
      <c r="A26" s="8" t="s">
        <v>55</v>
      </c>
      <c r="B26" s="1" t="s">
        <v>56</v>
      </c>
      <c r="C26" s="10">
        <v>7150</v>
      </c>
      <c r="D26" s="8" t="s">
        <v>10</v>
      </c>
    </row>
    <row r="27" spans="1:4">
      <c r="A27" s="8" t="s">
        <v>57</v>
      </c>
      <c r="B27" s="1" t="s">
        <v>58</v>
      </c>
      <c r="C27" s="10">
        <v>9927</v>
      </c>
      <c r="D27" s="8" t="s">
        <v>6</v>
      </c>
    </row>
    <row r="28" spans="1:4">
      <c r="A28" s="8" t="s">
        <v>59</v>
      </c>
      <c r="B28" s="1" t="s">
        <v>60</v>
      </c>
      <c r="C28" s="10">
        <v>2219</v>
      </c>
      <c r="D28" s="8" t="s">
        <v>10</v>
      </c>
    </row>
    <row r="29" spans="1:4">
      <c r="A29" s="8" t="s">
        <v>61</v>
      </c>
      <c r="B29" s="1" t="s">
        <v>62</v>
      </c>
      <c r="C29" s="10">
        <v>3079</v>
      </c>
      <c r="D29" s="8" t="s">
        <v>13</v>
      </c>
    </row>
    <row r="30" spans="1:4">
      <c r="A30" s="8" t="s">
        <v>63</v>
      </c>
      <c r="B30" s="1" t="s">
        <v>64</v>
      </c>
      <c r="C30" s="10">
        <v>7887</v>
      </c>
      <c r="D30" s="8" t="s">
        <v>10</v>
      </c>
    </row>
    <row r="31" spans="1:4">
      <c r="A31" s="8" t="s">
        <v>65</v>
      </c>
      <c r="B31" s="1" t="s">
        <v>66</v>
      </c>
      <c r="C31" s="10">
        <v>6912</v>
      </c>
      <c r="D31" s="8" t="s">
        <v>6</v>
      </c>
    </row>
    <row r="32" spans="1:4">
      <c r="A32" s="8" t="s">
        <v>67</v>
      </c>
      <c r="B32" s="1" t="s">
        <v>68</v>
      </c>
      <c r="C32" s="10">
        <v>6202</v>
      </c>
      <c r="D32" s="8" t="s">
        <v>10</v>
      </c>
    </row>
    <row r="33" spans="1:4">
      <c r="A33" s="8" t="s">
        <v>69</v>
      </c>
      <c r="B33" s="1" t="s">
        <v>70</v>
      </c>
      <c r="C33" s="10">
        <v>3042</v>
      </c>
      <c r="D33" s="8" t="s">
        <v>6</v>
      </c>
    </row>
    <row r="34" spans="1:4">
      <c r="A34" s="8" t="s">
        <v>71</v>
      </c>
      <c r="B34" s="1" t="s">
        <v>72</v>
      </c>
      <c r="C34" s="10">
        <v>1430</v>
      </c>
      <c r="D34" s="8" t="s">
        <v>10</v>
      </c>
    </row>
    <row r="35" spans="1:4">
      <c r="A35" s="8" t="s">
        <v>73</v>
      </c>
      <c r="B35" s="1" t="s">
        <v>74</v>
      </c>
      <c r="C35" s="10">
        <v>2892</v>
      </c>
      <c r="D35" s="8" t="s">
        <v>10</v>
      </c>
    </row>
    <row r="36" spans="1:4">
      <c r="A36" s="8" t="s">
        <v>75</v>
      </c>
      <c r="B36" s="1" t="s">
        <v>76</v>
      </c>
      <c r="C36" s="10">
        <v>9172</v>
      </c>
      <c r="D36" s="8" t="s">
        <v>13</v>
      </c>
    </row>
    <row r="37" spans="1:4">
      <c r="A37" s="8" t="s">
        <v>77</v>
      </c>
      <c r="B37" s="1" t="s">
        <v>78</v>
      </c>
      <c r="C37" s="10">
        <v>357</v>
      </c>
      <c r="D37" s="8" t="s">
        <v>10</v>
      </c>
    </row>
    <row r="38" spans="1:4">
      <c r="A38" s="8" t="s">
        <v>79</v>
      </c>
      <c r="B38" s="1" t="s">
        <v>80</v>
      </c>
      <c r="C38" s="10">
        <v>619</v>
      </c>
      <c r="D38" s="8" t="s">
        <v>6</v>
      </c>
    </row>
    <row r="39" spans="1:4">
      <c r="A39" s="8" t="s">
        <v>81</v>
      </c>
      <c r="B39" s="1" t="s">
        <v>82</v>
      </c>
      <c r="C39" s="10">
        <v>7088</v>
      </c>
      <c r="D39" s="8" t="s">
        <v>13</v>
      </c>
    </row>
    <row r="40" spans="1:4">
      <c r="A40" s="8" t="s">
        <v>83</v>
      </c>
      <c r="B40" s="1" t="s">
        <v>84</v>
      </c>
      <c r="C40" s="10">
        <v>9380</v>
      </c>
      <c r="D40" s="8" t="s">
        <v>10</v>
      </c>
    </row>
    <row r="41" spans="1:4">
      <c r="A41" s="8" t="s">
        <v>85</v>
      </c>
      <c r="B41" s="1" t="s">
        <v>86</v>
      </c>
      <c r="C41" s="10">
        <v>3330</v>
      </c>
      <c r="D41" s="8" t="s">
        <v>10</v>
      </c>
    </row>
    <row r="42" spans="1:4">
      <c r="A42" s="8" t="s">
        <v>87</v>
      </c>
      <c r="B42" s="1" t="s">
        <v>88</v>
      </c>
      <c r="C42" s="10">
        <v>9746</v>
      </c>
      <c r="D42" s="8" t="s">
        <v>13</v>
      </c>
    </row>
    <row r="43" spans="1:4">
      <c r="A43" s="8" t="s">
        <v>89</v>
      </c>
      <c r="B43" s="1" t="s">
        <v>90</v>
      </c>
      <c r="C43" s="10">
        <v>9226</v>
      </c>
      <c r="D43" s="8" t="s">
        <v>13</v>
      </c>
    </row>
    <row r="44" spans="1:4">
      <c r="A44" s="8" t="s">
        <v>91</v>
      </c>
      <c r="B44" s="1" t="s">
        <v>92</v>
      </c>
      <c r="C44" s="10">
        <v>5808</v>
      </c>
      <c r="D44" s="8" t="s">
        <v>13</v>
      </c>
    </row>
    <row r="45" spans="1:4">
      <c r="A45" s="8" t="s">
        <v>93</v>
      </c>
      <c r="B45" s="1" t="s">
        <v>94</v>
      </c>
      <c r="C45" s="10">
        <v>6838</v>
      </c>
      <c r="D45" s="8" t="s">
        <v>6</v>
      </c>
    </row>
    <row r="46" spans="1:4">
      <c r="A46" s="8" t="s">
        <v>95</v>
      </c>
      <c r="B46" s="1" t="s">
        <v>96</v>
      </c>
      <c r="C46" s="10">
        <v>6330</v>
      </c>
      <c r="D46" s="8" t="s">
        <v>6</v>
      </c>
    </row>
    <row r="47" spans="1:4">
      <c r="A47" s="8" t="s">
        <v>97</v>
      </c>
      <c r="B47" s="1" t="s">
        <v>98</v>
      </c>
      <c r="C47" s="10">
        <v>701</v>
      </c>
      <c r="D47" s="8" t="s">
        <v>6</v>
      </c>
    </row>
    <row r="48" spans="1:4">
      <c r="A48" s="8" t="s">
        <v>99</v>
      </c>
      <c r="B48" s="1" t="s">
        <v>100</v>
      </c>
      <c r="C48" s="10">
        <v>7196</v>
      </c>
      <c r="D48" s="8" t="s">
        <v>10</v>
      </c>
    </row>
    <row r="49" spans="1:4">
      <c r="A49" s="8" t="s">
        <v>101</v>
      </c>
      <c r="B49" s="1" t="s">
        <v>102</v>
      </c>
      <c r="C49" s="10">
        <v>6864</v>
      </c>
      <c r="D49" s="8" t="s">
        <v>6</v>
      </c>
    </row>
    <row r="50" spans="1:4">
      <c r="A50" s="8" t="s">
        <v>103</v>
      </c>
      <c r="B50" s="1" t="s">
        <v>104</v>
      </c>
      <c r="C50" s="10">
        <v>1587</v>
      </c>
      <c r="D50" s="8" t="s">
        <v>6</v>
      </c>
    </row>
    <row r="51" spans="1:4">
      <c r="A51" s="8" t="s">
        <v>105</v>
      </c>
      <c r="B51" s="1" t="s">
        <v>106</v>
      </c>
      <c r="C51" s="10">
        <v>4717</v>
      </c>
      <c r="D51" s="8" t="s">
        <v>13</v>
      </c>
    </row>
    <row r="52" spans="1:4">
      <c r="A52" s="8" t="s">
        <v>107</v>
      </c>
      <c r="B52" s="1" t="s">
        <v>108</v>
      </c>
      <c r="C52" s="10">
        <v>6880</v>
      </c>
      <c r="D52" s="8" t="s">
        <v>10</v>
      </c>
    </row>
    <row r="53" spans="1:4">
      <c r="A53" s="8" t="s">
        <v>109</v>
      </c>
      <c r="B53" s="1" t="s">
        <v>110</v>
      </c>
      <c r="C53" s="10">
        <v>4853</v>
      </c>
      <c r="D53" s="8" t="s">
        <v>13</v>
      </c>
    </row>
    <row r="54" spans="1:4">
      <c r="A54" s="8" t="s">
        <v>111</v>
      </c>
      <c r="B54" s="1" t="s">
        <v>112</v>
      </c>
      <c r="C54" s="10">
        <v>801</v>
      </c>
      <c r="D54" s="8" t="s">
        <v>10</v>
      </c>
    </row>
    <row r="55" spans="1:4">
      <c r="A55" s="8" t="s">
        <v>113</v>
      </c>
      <c r="B55" s="1" t="s">
        <v>114</v>
      </c>
      <c r="C55" s="10">
        <v>1928</v>
      </c>
      <c r="D55" s="8" t="s">
        <v>13</v>
      </c>
    </row>
    <row r="56" spans="1:4">
      <c r="A56" s="8" t="s">
        <v>115</v>
      </c>
      <c r="B56" s="1" t="s">
        <v>116</v>
      </c>
      <c r="C56" s="10">
        <v>1028</v>
      </c>
      <c r="D56" s="8" t="s">
        <v>13</v>
      </c>
    </row>
    <row r="57" spans="1:4">
      <c r="A57" s="8" t="s">
        <v>117</v>
      </c>
      <c r="B57" s="1" t="s">
        <v>118</v>
      </c>
      <c r="C57" s="10">
        <v>5895</v>
      </c>
      <c r="D57" s="8" t="s">
        <v>10</v>
      </c>
    </row>
    <row r="58" spans="1:4">
      <c r="A58" s="8" t="s">
        <v>119</v>
      </c>
      <c r="B58" s="1" t="s">
        <v>120</v>
      </c>
      <c r="C58" s="10">
        <v>6489</v>
      </c>
      <c r="D58" s="8" t="s">
        <v>6</v>
      </c>
    </row>
    <row r="59" spans="1:4">
      <c r="A59" s="8" t="s">
        <v>121</v>
      </c>
      <c r="B59" s="1" t="s">
        <v>122</v>
      </c>
      <c r="C59" s="10">
        <v>9959</v>
      </c>
      <c r="D59" s="8" t="s">
        <v>10</v>
      </c>
    </row>
    <row r="60" spans="1:4">
      <c r="A60" s="8" t="s">
        <v>123</v>
      </c>
      <c r="B60" s="1" t="s">
        <v>124</v>
      </c>
      <c r="C60" s="10">
        <v>620</v>
      </c>
      <c r="D60" s="8" t="s">
        <v>13</v>
      </c>
    </row>
    <row r="61" spans="1:4">
      <c r="A61" s="8" t="s">
        <v>125</v>
      </c>
      <c r="B61" s="1" t="s">
        <v>126</v>
      </c>
      <c r="C61" s="10">
        <v>7231</v>
      </c>
      <c r="D61" s="8" t="s">
        <v>13</v>
      </c>
    </row>
    <row r="62" spans="1:4">
      <c r="A62" s="8" t="s">
        <v>127</v>
      </c>
      <c r="B62" s="1" t="s">
        <v>128</v>
      </c>
      <c r="C62" s="10">
        <v>4548</v>
      </c>
      <c r="D62" s="8" t="s">
        <v>13</v>
      </c>
    </row>
    <row r="63" spans="1:4">
      <c r="A63" s="8" t="s">
        <v>129</v>
      </c>
      <c r="B63" s="1" t="s">
        <v>130</v>
      </c>
      <c r="C63" s="10">
        <v>7846</v>
      </c>
      <c r="D63" s="8" t="s">
        <v>10</v>
      </c>
    </row>
    <row r="64" spans="1:4">
      <c r="A64" s="8" t="s">
        <v>131</v>
      </c>
      <c r="B64" s="1" t="s">
        <v>132</v>
      </c>
      <c r="C64" s="10">
        <v>7573</v>
      </c>
      <c r="D64" s="8" t="s">
        <v>13</v>
      </c>
    </row>
    <row r="65" spans="1:4">
      <c r="A65" s="8" t="s">
        <v>133</v>
      </c>
      <c r="B65" s="1" t="s">
        <v>134</v>
      </c>
      <c r="C65" s="10">
        <v>6785</v>
      </c>
      <c r="D65" s="8" t="s">
        <v>13</v>
      </c>
    </row>
    <row r="66" spans="1:4">
      <c r="A66" s="8" t="s">
        <v>135</v>
      </c>
      <c r="B66" s="1" t="s">
        <v>136</v>
      </c>
      <c r="C66" s="10">
        <v>7699</v>
      </c>
      <c r="D66" s="8" t="s">
        <v>13</v>
      </c>
    </row>
    <row r="67" spans="1:4">
      <c r="A67" s="8" t="s">
        <v>137</v>
      </c>
      <c r="B67" s="1" t="s">
        <v>138</v>
      </c>
      <c r="C67" s="10">
        <v>6281</v>
      </c>
      <c r="D67" s="8" t="s">
        <v>6</v>
      </c>
    </row>
    <row r="68" spans="1:4">
      <c r="A68" s="8" t="s">
        <v>139</v>
      </c>
      <c r="B68" s="1" t="s">
        <v>140</v>
      </c>
      <c r="C68" s="10">
        <v>959</v>
      </c>
      <c r="D68" s="8" t="s">
        <v>13</v>
      </c>
    </row>
    <row r="69" spans="1:4">
      <c r="A69" s="8" t="s">
        <v>141</v>
      </c>
      <c r="B69" s="1" t="s">
        <v>142</v>
      </c>
      <c r="C69" s="10">
        <v>9644</v>
      </c>
      <c r="D69" s="8" t="s">
        <v>13</v>
      </c>
    </row>
    <row r="70" spans="1:4">
      <c r="A70" s="8" t="s">
        <v>143</v>
      </c>
      <c r="B70" s="1" t="s">
        <v>144</v>
      </c>
      <c r="C70" s="10">
        <v>5728</v>
      </c>
      <c r="D70" s="8" t="s">
        <v>6</v>
      </c>
    </row>
    <row r="71" spans="1:4">
      <c r="A71" s="8" t="s">
        <v>145</v>
      </c>
      <c r="B71" s="1" t="s">
        <v>146</v>
      </c>
      <c r="C71" s="10">
        <v>9216</v>
      </c>
      <c r="D71" s="8" t="s">
        <v>13</v>
      </c>
    </row>
    <row r="72" spans="1:4">
      <c r="A72" s="8" t="s">
        <v>147</v>
      </c>
      <c r="B72" s="1" t="s">
        <v>148</v>
      </c>
      <c r="C72" s="10">
        <v>2985</v>
      </c>
      <c r="D72" s="8" t="s">
        <v>13</v>
      </c>
    </row>
    <row r="73" spans="1:4">
      <c r="A73" s="8" t="s">
        <v>149</v>
      </c>
      <c r="B73" s="1" t="s">
        <v>150</v>
      </c>
      <c r="C73" s="10">
        <v>8403</v>
      </c>
      <c r="D73" s="8" t="s">
        <v>10</v>
      </c>
    </row>
    <row r="74" spans="1:4">
      <c r="A74" s="8" t="s">
        <v>151</v>
      </c>
      <c r="B74" s="1" t="s">
        <v>152</v>
      </c>
      <c r="C74" s="10">
        <v>8250</v>
      </c>
      <c r="D74" s="8" t="s">
        <v>13</v>
      </c>
    </row>
    <row r="75" spans="1:4">
      <c r="A75" s="8" t="s">
        <v>153</v>
      </c>
      <c r="B75" s="1" t="s">
        <v>154</v>
      </c>
      <c r="C75" s="10">
        <v>3185</v>
      </c>
      <c r="D75" s="8" t="s">
        <v>6</v>
      </c>
    </row>
    <row r="76" spans="1:4">
      <c r="A76" s="8" t="s">
        <v>155</v>
      </c>
      <c r="B76" s="1" t="s">
        <v>156</v>
      </c>
      <c r="C76" s="10">
        <v>5718</v>
      </c>
      <c r="D76" s="8" t="s">
        <v>10</v>
      </c>
    </row>
    <row r="77" spans="1:4">
      <c r="A77" s="8" t="s">
        <v>157</v>
      </c>
      <c r="B77" s="1" t="s">
        <v>158</v>
      </c>
      <c r="C77" s="10">
        <v>4388</v>
      </c>
      <c r="D77" s="8" t="s">
        <v>6</v>
      </c>
    </row>
    <row r="78" spans="1:4">
      <c r="A78" s="8" t="s">
        <v>159</v>
      </c>
      <c r="B78" s="1" t="s">
        <v>160</v>
      </c>
      <c r="C78" s="10">
        <v>7880</v>
      </c>
      <c r="D78" s="8" t="s">
        <v>6</v>
      </c>
    </row>
    <row r="79" spans="1:4">
      <c r="A79" s="8" t="s">
        <v>161</v>
      </c>
      <c r="B79" s="1" t="s">
        <v>162</v>
      </c>
      <c r="C79" s="10">
        <v>304</v>
      </c>
      <c r="D79" s="8" t="s">
        <v>13</v>
      </c>
    </row>
    <row r="80" spans="1:4">
      <c r="A80" s="8" t="s">
        <v>163</v>
      </c>
      <c r="B80" s="1" t="s">
        <v>164</v>
      </c>
      <c r="C80" s="10">
        <v>8521</v>
      </c>
      <c r="D80" s="8" t="s">
        <v>10</v>
      </c>
    </row>
    <row r="81" spans="1:4">
      <c r="A81" s="8" t="s">
        <v>165</v>
      </c>
      <c r="B81" s="1" t="s">
        <v>166</v>
      </c>
      <c r="C81" s="10">
        <v>9004</v>
      </c>
      <c r="D81" s="8" t="s">
        <v>6</v>
      </c>
    </row>
    <row r="82" spans="1:4">
      <c r="A82" s="8" t="s">
        <v>167</v>
      </c>
      <c r="B82" s="1" t="s">
        <v>168</v>
      </c>
      <c r="C82" s="10">
        <v>6818</v>
      </c>
      <c r="D82" s="8" t="s">
        <v>6</v>
      </c>
    </row>
    <row r="83" spans="1:4">
      <c r="A83" s="8" t="s">
        <v>169</v>
      </c>
      <c r="B83" s="1" t="s">
        <v>170</v>
      </c>
      <c r="C83" s="10">
        <v>8253</v>
      </c>
      <c r="D83" s="8" t="s">
        <v>6</v>
      </c>
    </row>
    <row r="84" spans="1:4">
      <c r="A84" s="8" t="s">
        <v>171</v>
      </c>
      <c r="B84" s="1" t="s">
        <v>172</v>
      </c>
      <c r="C84" s="10">
        <v>4525</v>
      </c>
      <c r="D84" s="8" t="s">
        <v>10</v>
      </c>
    </row>
    <row r="85" spans="1:4">
      <c r="A85" s="8" t="s">
        <v>173</v>
      </c>
      <c r="B85" s="1" t="s">
        <v>174</v>
      </c>
      <c r="C85" s="10">
        <v>8932</v>
      </c>
      <c r="D85" s="8" t="s">
        <v>6</v>
      </c>
    </row>
    <row r="86" spans="1:4">
      <c r="A86" s="8" t="s">
        <v>175</v>
      </c>
      <c r="B86" s="1" t="s">
        <v>176</v>
      </c>
      <c r="C86" s="10">
        <v>6255</v>
      </c>
      <c r="D86" s="8" t="s">
        <v>6</v>
      </c>
    </row>
    <row r="87" spans="1:4">
      <c r="A87" s="8" t="s">
        <v>177</v>
      </c>
      <c r="B87" s="1" t="s">
        <v>178</v>
      </c>
      <c r="C87" s="10">
        <v>4078</v>
      </c>
      <c r="D87" s="8" t="s">
        <v>13</v>
      </c>
    </row>
    <row r="88" spans="1:4">
      <c r="A88" s="8" t="s">
        <v>179</v>
      </c>
      <c r="B88" s="1" t="s">
        <v>180</v>
      </c>
      <c r="C88" s="10">
        <v>5986</v>
      </c>
      <c r="D88" s="8" t="s">
        <v>10</v>
      </c>
    </row>
    <row r="89" spans="1:4">
      <c r="A89" s="8" t="s">
        <v>181</v>
      </c>
      <c r="B89" s="1" t="s">
        <v>182</v>
      </c>
      <c r="C89" s="10">
        <v>2976</v>
      </c>
      <c r="D89" s="8" t="s">
        <v>6</v>
      </c>
    </row>
    <row r="90" spans="1:4">
      <c r="A90" s="8" t="s">
        <v>183</v>
      </c>
      <c r="B90" s="1" t="s">
        <v>184</v>
      </c>
      <c r="C90" s="10">
        <v>5519</v>
      </c>
      <c r="D90" s="8" t="s">
        <v>10</v>
      </c>
    </row>
    <row r="91" spans="1:4">
      <c r="A91" s="8" t="s">
        <v>185</v>
      </c>
      <c r="B91" s="1" t="s">
        <v>186</v>
      </c>
      <c r="C91" s="10">
        <v>2780</v>
      </c>
      <c r="D91" s="8" t="s">
        <v>13</v>
      </c>
    </row>
    <row r="92" spans="1:4">
      <c r="A92" s="8" t="s">
        <v>187</v>
      </c>
      <c r="B92" s="1" t="s">
        <v>188</v>
      </c>
      <c r="C92" s="10">
        <v>559</v>
      </c>
      <c r="D92" s="8" t="s">
        <v>13</v>
      </c>
    </row>
    <row r="93" spans="1:4">
      <c r="A93" s="8" t="s">
        <v>189</v>
      </c>
      <c r="B93" s="1" t="s">
        <v>190</v>
      </c>
      <c r="C93" s="10">
        <v>610</v>
      </c>
      <c r="D93" s="8" t="s">
        <v>13</v>
      </c>
    </row>
    <row r="94" spans="1:4">
      <c r="A94" s="8" t="s">
        <v>191</v>
      </c>
      <c r="B94" s="1" t="s">
        <v>192</v>
      </c>
      <c r="C94" s="10">
        <v>9775</v>
      </c>
      <c r="D94" s="8" t="s">
        <v>13</v>
      </c>
    </row>
    <row r="95" spans="1:4">
      <c r="A95" s="8" t="s">
        <v>193</v>
      </c>
      <c r="B95" s="1" t="s">
        <v>194</v>
      </c>
      <c r="C95" s="10">
        <v>9280</v>
      </c>
      <c r="D95" s="8" t="s">
        <v>6</v>
      </c>
    </row>
    <row r="96" spans="1:4">
      <c r="A96" s="8" t="s">
        <v>195</v>
      </c>
      <c r="B96" s="1" t="s">
        <v>196</v>
      </c>
      <c r="C96" s="10">
        <v>2868</v>
      </c>
      <c r="D96" s="8" t="s">
        <v>6</v>
      </c>
    </row>
    <row r="97" spans="1:4">
      <c r="A97" s="8" t="s">
        <v>197</v>
      </c>
      <c r="B97" s="1" t="s">
        <v>198</v>
      </c>
      <c r="C97" s="10">
        <v>1401</v>
      </c>
      <c r="D97" s="8" t="s">
        <v>13</v>
      </c>
    </row>
    <row r="98" spans="1:4">
      <c r="A98" s="8" t="s">
        <v>199</v>
      </c>
      <c r="B98" s="1" t="s">
        <v>200</v>
      </c>
      <c r="C98" s="10">
        <v>4498</v>
      </c>
      <c r="D98" s="8" t="s">
        <v>10</v>
      </c>
    </row>
    <row r="99" spans="1:4">
      <c r="A99" s="8" t="s">
        <v>201</v>
      </c>
      <c r="B99" s="1" t="s">
        <v>202</v>
      </c>
      <c r="C99" s="10">
        <v>5409</v>
      </c>
      <c r="D99" s="8" t="s">
        <v>6</v>
      </c>
    </row>
    <row r="100" spans="1:4">
      <c r="A100" s="8" t="s">
        <v>203</v>
      </c>
      <c r="B100" s="1" t="s">
        <v>204</v>
      </c>
      <c r="C100" s="10">
        <v>1099</v>
      </c>
      <c r="D100" s="8" t="s">
        <v>10</v>
      </c>
    </row>
    <row r="101" spans="1:4">
      <c r="A101" s="8" t="s">
        <v>205</v>
      </c>
      <c r="B101" s="1" t="s">
        <v>206</v>
      </c>
      <c r="C101" s="10">
        <v>765</v>
      </c>
      <c r="D101" s="8" t="s">
        <v>10</v>
      </c>
    </row>
    <row r="102" spans="1:4">
      <c r="A102" s="8"/>
      <c r="B102" s="1"/>
      <c r="C102" s="6"/>
      <c r="D102" s="8"/>
    </row>
    <row r="103" spans="1:4">
      <c r="A103" s="8"/>
      <c r="B103" s="1"/>
      <c r="C103" s="6"/>
      <c r="D103" s="8"/>
    </row>
    <row r="104" spans="1:4">
      <c r="A104" s="8"/>
      <c r="B104" s="1"/>
      <c r="C104" s="6"/>
      <c r="D104" s="8"/>
    </row>
    <row r="105" spans="1:4">
      <c r="A105" s="8"/>
      <c r="B105" s="1"/>
      <c r="C105" s="6"/>
      <c r="D105" s="8"/>
    </row>
    <row r="106" spans="1:4">
      <c r="A106" s="8"/>
      <c r="B106" s="1"/>
      <c r="C106" s="6"/>
      <c r="D106" s="8"/>
    </row>
    <row r="107" spans="1:4">
      <c r="A107" s="8"/>
      <c r="B107" s="1"/>
      <c r="C107" s="6"/>
      <c r="D107" s="8"/>
    </row>
    <row r="108" spans="1:4">
      <c r="A108" s="8"/>
      <c r="B108" s="1"/>
      <c r="C108" s="6"/>
      <c r="D108" s="8"/>
    </row>
    <row r="109" spans="1:4">
      <c r="A109" s="8"/>
      <c r="B109" s="1"/>
      <c r="C109" s="6"/>
      <c r="D109" s="8"/>
    </row>
    <row r="110" spans="1:4">
      <c r="A110" s="8"/>
      <c r="B110" s="1"/>
      <c r="C110" s="6"/>
      <c r="D110" s="8"/>
    </row>
    <row r="111" spans="1:4">
      <c r="A111" s="8"/>
      <c r="B111" s="1"/>
      <c r="C111" s="6"/>
      <c r="D111" s="8"/>
    </row>
    <row r="112" spans="1:4">
      <c r="A112" s="8"/>
      <c r="B112" s="1"/>
      <c r="C112" s="6"/>
      <c r="D112" s="8"/>
    </row>
    <row r="113" spans="1:4">
      <c r="A113" s="8"/>
      <c r="B113" s="1"/>
      <c r="C113" s="6"/>
      <c r="D113" s="8"/>
    </row>
    <row r="114" spans="1:4">
      <c r="A114" s="8"/>
      <c r="B114" s="1"/>
      <c r="C114" s="6"/>
      <c r="D114" s="8"/>
    </row>
    <row r="115" spans="1:4">
      <c r="A115" s="8"/>
      <c r="B115" s="1"/>
      <c r="C115" s="6"/>
      <c r="D115" s="8"/>
    </row>
    <row r="116" spans="1:4">
      <c r="A116" s="8"/>
      <c r="B116" s="1"/>
      <c r="C116" s="6"/>
      <c r="D116" s="8"/>
    </row>
    <row r="117" spans="1:4">
      <c r="A117" s="8"/>
      <c r="B117" s="1"/>
      <c r="C117" s="6"/>
      <c r="D117" s="8"/>
    </row>
    <row r="118" spans="1:4">
      <c r="A118" s="8"/>
      <c r="B118" s="1"/>
      <c r="C118" s="6"/>
      <c r="D118" s="8"/>
    </row>
    <row r="119" spans="1:4">
      <c r="A119" s="8"/>
      <c r="B119" s="1"/>
      <c r="C119" s="6"/>
      <c r="D119" s="8"/>
    </row>
    <row r="120" spans="1:4">
      <c r="A120" s="8"/>
      <c r="B120" s="1"/>
      <c r="C120" s="6"/>
      <c r="D120" s="8"/>
    </row>
    <row r="121" spans="1:4">
      <c r="A121" s="8"/>
      <c r="B121" s="1"/>
      <c r="C121" s="6"/>
      <c r="D121" s="8"/>
    </row>
    <row r="122" spans="1:4">
      <c r="A122" s="8"/>
      <c r="B122" s="1"/>
      <c r="C122" s="6"/>
      <c r="D122" s="8"/>
    </row>
    <row r="123" spans="1:4">
      <c r="A123" s="8"/>
      <c r="B123" s="1"/>
      <c r="C123" s="6"/>
      <c r="D123" s="8"/>
    </row>
    <row r="124" spans="1:4">
      <c r="A124" s="8"/>
      <c r="B124" s="1"/>
      <c r="C124" s="6"/>
      <c r="D124" s="8"/>
    </row>
    <row r="125" spans="1:4">
      <c r="A125" s="8"/>
      <c r="B125" s="1"/>
      <c r="C125" s="6"/>
      <c r="D125" s="8"/>
    </row>
    <row r="126" spans="1:4">
      <c r="A126" s="8"/>
      <c r="B126" s="1"/>
      <c r="C126" s="6"/>
      <c r="D126" s="8"/>
    </row>
    <row r="127" spans="1:4">
      <c r="A127" s="8"/>
      <c r="B127" s="1"/>
      <c r="C127" s="6"/>
      <c r="D127" s="8"/>
    </row>
    <row r="128" spans="1:4">
      <c r="A128" s="8"/>
      <c r="B128" s="1"/>
      <c r="C128" s="6"/>
      <c r="D128" s="8"/>
    </row>
    <row r="129" spans="1:4">
      <c r="A129" s="8"/>
      <c r="B129" s="1"/>
      <c r="C129" s="6"/>
      <c r="D129" s="8"/>
    </row>
    <row r="130" spans="1:4">
      <c r="A130" s="8"/>
      <c r="B130" s="1"/>
      <c r="C130" s="6"/>
      <c r="D130" s="8"/>
    </row>
    <row r="131" spans="1:4">
      <c r="A131" s="8"/>
      <c r="B131" s="1"/>
      <c r="C131" s="6"/>
      <c r="D131" s="8"/>
    </row>
    <row r="132" spans="1:4">
      <c r="A132" s="8"/>
      <c r="B132" s="1"/>
      <c r="C132" s="6"/>
      <c r="D132" s="8"/>
    </row>
    <row r="133" spans="1:4">
      <c r="A133" s="8"/>
      <c r="B133" s="1"/>
      <c r="C133" s="6"/>
      <c r="D133" s="8"/>
    </row>
    <row r="134" spans="1:4">
      <c r="A134" s="8"/>
      <c r="B134" s="1"/>
      <c r="C134" s="6"/>
      <c r="D134" s="8"/>
    </row>
    <row r="135" spans="1:4">
      <c r="A135" s="8"/>
      <c r="B135" s="1"/>
      <c r="C135" s="6"/>
      <c r="D135" s="8"/>
    </row>
    <row r="136" spans="1:4">
      <c r="A136" s="8"/>
      <c r="B136" s="1"/>
      <c r="C136" s="6"/>
      <c r="D136" s="8"/>
    </row>
    <row r="137" spans="1:4">
      <c r="A137" s="8"/>
      <c r="B137" s="1"/>
      <c r="C137" s="6"/>
      <c r="D137" s="8"/>
    </row>
    <row r="138" spans="1:4">
      <c r="A138" s="8"/>
      <c r="B138" s="1"/>
      <c r="C138" s="6"/>
      <c r="D138" s="8"/>
    </row>
    <row r="139" spans="1:4">
      <c r="A139" s="8"/>
      <c r="B139" s="1"/>
      <c r="C139" s="6"/>
      <c r="D139" s="8"/>
    </row>
    <row r="140" spans="1:4">
      <c r="A140" s="8"/>
      <c r="B140" s="1"/>
      <c r="C140" s="6"/>
      <c r="D140" s="8"/>
    </row>
    <row r="141" spans="1:4">
      <c r="A141" s="8"/>
      <c r="B141" s="1"/>
      <c r="C141" s="6"/>
      <c r="D141" s="8"/>
    </row>
    <row r="142" spans="1:4">
      <c r="A142" s="8"/>
      <c r="B142" s="1"/>
      <c r="C142" s="6"/>
      <c r="D142" s="8"/>
    </row>
    <row r="143" spans="1:4">
      <c r="A143" s="8"/>
      <c r="B143" s="1"/>
      <c r="C143" s="6"/>
      <c r="D143" s="8"/>
    </row>
    <row r="144" spans="1:4">
      <c r="A144" s="8"/>
      <c r="B144" s="1"/>
      <c r="C144" s="6"/>
      <c r="D144" s="8"/>
    </row>
    <row r="145" spans="1:4">
      <c r="A145" s="8"/>
      <c r="B145" s="1"/>
      <c r="C145" s="6"/>
      <c r="D145" s="8"/>
    </row>
    <row r="146" spans="1:4">
      <c r="A146" s="8"/>
      <c r="B146" s="1"/>
      <c r="C146" s="6"/>
      <c r="D146" s="8"/>
    </row>
    <row r="147" spans="1:4">
      <c r="A147" s="8"/>
      <c r="B147" s="1"/>
      <c r="C147" s="6"/>
      <c r="D147" s="8"/>
    </row>
    <row r="148" spans="1:4">
      <c r="A148" s="8"/>
      <c r="B148" s="1"/>
      <c r="C148" s="6"/>
      <c r="D148" s="8"/>
    </row>
    <row r="149" spans="1:4">
      <c r="A149" s="8"/>
      <c r="B149" s="1"/>
      <c r="C149" s="6"/>
      <c r="D149" s="8"/>
    </row>
    <row r="150" spans="1:4">
      <c r="A150" s="8"/>
      <c r="B150" s="1"/>
      <c r="C150" s="6"/>
      <c r="D150" s="8"/>
    </row>
    <row r="151" spans="1:4">
      <c r="A151" s="8"/>
      <c r="B151" s="1"/>
      <c r="C151" s="6"/>
      <c r="D151" s="8"/>
    </row>
    <row r="152" spans="1:4">
      <c r="A152" s="8"/>
      <c r="B152" s="1"/>
      <c r="C152" s="6"/>
      <c r="D152" s="8"/>
    </row>
    <row r="153" spans="1:4">
      <c r="A153" s="8"/>
      <c r="B153" s="1"/>
      <c r="C153" s="6"/>
      <c r="D153" s="8"/>
    </row>
    <row r="154" spans="1:4">
      <c r="A154" s="8"/>
      <c r="B154" s="1"/>
      <c r="C154" s="6"/>
      <c r="D154" s="8"/>
    </row>
    <row r="155" spans="1:4">
      <c r="A155" s="8"/>
      <c r="B155" s="1"/>
      <c r="C155" s="6"/>
      <c r="D155" s="8"/>
    </row>
    <row r="156" spans="1:4">
      <c r="A156" s="8"/>
      <c r="B156" s="1"/>
      <c r="C156" s="6"/>
      <c r="D156" s="8"/>
    </row>
    <row r="157" spans="1:4">
      <c r="A157" s="8"/>
      <c r="B157" s="1"/>
      <c r="C157" s="6"/>
      <c r="D157" s="8"/>
    </row>
    <row r="158" spans="1:4">
      <c r="A158" s="8"/>
      <c r="B158" s="1"/>
      <c r="C158" s="6"/>
      <c r="D158" s="8"/>
    </row>
    <row r="159" spans="1:4">
      <c r="A159" s="8"/>
      <c r="B159" s="1"/>
      <c r="C159" s="6"/>
      <c r="D159" s="8"/>
    </row>
    <row r="160" spans="1:4">
      <c r="A160" s="8"/>
      <c r="B160" s="1"/>
      <c r="C160" s="6"/>
      <c r="D160" s="8"/>
    </row>
    <row r="161" spans="1:4">
      <c r="A161" s="8"/>
      <c r="B161" s="1"/>
      <c r="C161" s="6"/>
      <c r="D161" s="8"/>
    </row>
    <row r="162" spans="1:4">
      <c r="A162" s="8"/>
      <c r="B162" s="1"/>
      <c r="C162" s="6"/>
      <c r="D162" s="8"/>
    </row>
    <row r="163" spans="1:4">
      <c r="A163" s="8"/>
      <c r="B163" s="1"/>
      <c r="C163" s="6"/>
      <c r="D163" s="8"/>
    </row>
    <row r="164" spans="1:4">
      <c r="A164" s="8"/>
      <c r="B164" s="1"/>
      <c r="C164" s="6"/>
      <c r="D164" s="8"/>
    </row>
    <row r="165" spans="1:4">
      <c r="A165" s="8"/>
      <c r="B165" s="1"/>
      <c r="C165" s="6"/>
      <c r="D165" s="8"/>
    </row>
    <row r="166" spans="1:4">
      <c r="A166" s="8"/>
      <c r="B166" s="1"/>
      <c r="C166" s="6"/>
      <c r="D166" s="8"/>
    </row>
    <row r="167" spans="1:4">
      <c r="A167" s="8"/>
      <c r="B167" s="1"/>
      <c r="C167" s="6"/>
      <c r="D167" s="8"/>
    </row>
    <row r="168" spans="1:4">
      <c r="A168" s="8"/>
      <c r="B168" s="1"/>
      <c r="C168" s="6"/>
      <c r="D168" s="8"/>
    </row>
    <row r="169" spans="1:4">
      <c r="A169" s="8"/>
      <c r="B169" s="1"/>
      <c r="C169" s="6"/>
      <c r="D169" s="8"/>
    </row>
    <row r="170" spans="1:4">
      <c r="A170" s="8"/>
      <c r="B170" s="1"/>
      <c r="C170" s="6"/>
      <c r="D170" s="8"/>
    </row>
    <row r="171" spans="1:4">
      <c r="A171" s="8"/>
      <c r="B171" s="1"/>
      <c r="C171" s="6"/>
      <c r="D171" s="8"/>
    </row>
    <row r="172" spans="1:4">
      <c r="A172" s="8"/>
      <c r="B172" s="1"/>
      <c r="C172" s="6"/>
      <c r="D172" s="8"/>
    </row>
    <row r="173" spans="1:4">
      <c r="A173" s="8"/>
      <c r="B173" s="1"/>
      <c r="C173" s="6"/>
      <c r="D173" s="8"/>
    </row>
    <row r="174" spans="1:4">
      <c r="A174" s="8"/>
      <c r="B174" s="1"/>
      <c r="C174" s="6"/>
      <c r="D174" s="8"/>
    </row>
    <row r="175" spans="1:4">
      <c r="A175" s="8"/>
      <c r="B175" s="1"/>
      <c r="C175" s="6"/>
      <c r="D175" s="8"/>
    </row>
    <row r="176" spans="1:4">
      <c r="A176" s="8"/>
      <c r="B176" s="1"/>
      <c r="C176" s="6"/>
      <c r="D176" s="8"/>
    </row>
    <row r="177" spans="1:4">
      <c r="A177" s="8"/>
      <c r="B177" s="1"/>
      <c r="C177" s="6"/>
      <c r="D177" s="8"/>
    </row>
    <row r="178" spans="1:4">
      <c r="A178" s="8"/>
      <c r="B178" s="1"/>
      <c r="C178" s="6"/>
      <c r="D178" s="8"/>
    </row>
    <row r="179" spans="1:4">
      <c r="A179" s="8"/>
      <c r="B179" s="1"/>
      <c r="C179" s="6"/>
      <c r="D179" s="8"/>
    </row>
    <row r="180" spans="1:4">
      <c r="A180" s="8"/>
      <c r="B180" s="1"/>
      <c r="C180" s="6"/>
      <c r="D180" s="8"/>
    </row>
    <row r="181" spans="1:4">
      <c r="A181" s="8"/>
      <c r="B181" s="1"/>
      <c r="C181" s="6"/>
      <c r="D181" s="8"/>
    </row>
    <row r="182" spans="1:4">
      <c r="A182" s="8"/>
      <c r="B182" s="1"/>
      <c r="C182" s="6"/>
      <c r="D182" s="8"/>
    </row>
    <row r="183" spans="1:4">
      <c r="A183" s="8"/>
      <c r="B183" s="1"/>
      <c r="C183" s="6"/>
      <c r="D183" s="8"/>
    </row>
    <row r="184" spans="1:4">
      <c r="A184" s="8"/>
      <c r="B184" s="1"/>
      <c r="C184" s="6"/>
      <c r="D184" s="8"/>
    </row>
    <row r="185" spans="1:4">
      <c r="A185" s="8"/>
      <c r="B185" s="1"/>
      <c r="C185" s="6"/>
      <c r="D185" s="8"/>
    </row>
    <row r="186" spans="1:4">
      <c r="A186" s="8"/>
      <c r="B186" s="1"/>
      <c r="C186" s="6"/>
      <c r="D186" s="8"/>
    </row>
    <row r="187" spans="1:4">
      <c r="A187" s="8"/>
      <c r="B187" s="1"/>
      <c r="C187" s="6"/>
      <c r="D187" s="8"/>
    </row>
    <row r="188" spans="1:4">
      <c r="A188" s="8"/>
      <c r="B188" s="1"/>
      <c r="C188" s="6"/>
      <c r="D188" s="8"/>
    </row>
    <row r="189" spans="1:4">
      <c r="A189" s="8"/>
      <c r="B189" s="1"/>
      <c r="C189" s="6"/>
      <c r="D189" s="8"/>
    </row>
    <row r="190" spans="1:4">
      <c r="A190" s="8"/>
      <c r="B190" s="1"/>
      <c r="C190" s="6"/>
      <c r="D190" s="8"/>
    </row>
    <row r="191" spans="1:4">
      <c r="A191" s="8"/>
      <c r="B191" s="1"/>
      <c r="C191" s="6"/>
      <c r="D191" s="8"/>
    </row>
    <row r="192" spans="1:4">
      <c r="A192" s="8"/>
      <c r="B192" s="1"/>
      <c r="C192" s="6"/>
      <c r="D192" s="8"/>
    </row>
    <row r="193" spans="1:4">
      <c r="A193" s="8"/>
      <c r="B193" s="1"/>
      <c r="C193" s="6"/>
      <c r="D193" s="8"/>
    </row>
    <row r="194" spans="1:4">
      <c r="A194" s="8"/>
      <c r="B194" s="1"/>
      <c r="C194" s="6"/>
      <c r="D194" s="8"/>
    </row>
    <row r="195" spans="1:4">
      <c r="A195" s="8"/>
      <c r="B195" s="1"/>
      <c r="C195" s="6"/>
      <c r="D195" s="8"/>
    </row>
    <row r="196" spans="1:4">
      <c r="A196" s="8"/>
      <c r="B196" s="1"/>
      <c r="C196" s="6"/>
      <c r="D196" s="8"/>
    </row>
    <row r="197" spans="1:4">
      <c r="A197" s="8"/>
      <c r="B197" s="1"/>
      <c r="C197" s="6"/>
      <c r="D197" s="8"/>
    </row>
    <row r="198" spans="1:4">
      <c r="A198" s="8"/>
      <c r="B198" s="1"/>
      <c r="C198" s="6"/>
      <c r="D198" s="8"/>
    </row>
    <row r="199" spans="1:4">
      <c r="A199" s="8"/>
      <c r="B199" s="1"/>
      <c r="C199" s="6"/>
      <c r="D199" s="8"/>
    </row>
    <row r="200" spans="1:4">
      <c r="A200" s="8"/>
      <c r="B200" s="1"/>
      <c r="C200" s="6"/>
      <c r="D200" s="8"/>
    </row>
    <row r="201" spans="1:4">
      <c r="A201" s="8"/>
      <c r="B201" s="1"/>
      <c r="C201" s="6"/>
      <c r="D201" s="8"/>
    </row>
    <row r="202" spans="1:4">
      <c r="A202" s="8"/>
      <c r="B202" s="1"/>
      <c r="C202" s="6"/>
      <c r="D202" s="8"/>
    </row>
    <row r="203" spans="1:4">
      <c r="A203" s="8"/>
      <c r="B203" s="1"/>
      <c r="C203" s="6"/>
      <c r="D203" s="8"/>
    </row>
    <row r="204" spans="1:4">
      <c r="A204" s="8"/>
      <c r="B204" s="1"/>
      <c r="C204" s="6"/>
      <c r="D204" s="8"/>
    </row>
    <row r="205" spans="1:4">
      <c r="A205" s="8"/>
      <c r="B205" s="1"/>
      <c r="C205" s="6"/>
      <c r="D205" s="8"/>
    </row>
    <row r="206" spans="1:4">
      <c r="A206" s="8"/>
      <c r="B206" s="1"/>
      <c r="C206" s="6"/>
      <c r="D206" s="8"/>
    </row>
    <row r="207" spans="1:4">
      <c r="A207" s="8"/>
      <c r="B207" s="1"/>
      <c r="C207" s="6"/>
      <c r="D207" s="8"/>
    </row>
    <row r="208" spans="1:4">
      <c r="A208" s="8"/>
      <c r="B208" s="1"/>
      <c r="C208" s="6"/>
      <c r="D208" s="8"/>
    </row>
    <row r="209" spans="1:4">
      <c r="A209" s="8"/>
      <c r="B209" s="1"/>
      <c r="C209" s="6"/>
      <c r="D209" s="8"/>
    </row>
    <row r="210" spans="1:4">
      <c r="A210" s="8"/>
      <c r="B210" s="1"/>
      <c r="C210" s="6"/>
      <c r="D210" s="8"/>
    </row>
    <row r="211" spans="1:4">
      <c r="A211" s="8"/>
      <c r="B211" s="1"/>
      <c r="C211" s="6"/>
      <c r="D211" s="8"/>
    </row>
    <row r="212" spans="1:4">
      <c r="A212" s="8"/>
      <c r="B212" s="1"/>
      <c r="C212" s="6"/>
      <c r="D212" s="8"/>
    </row>
    <row r="213" spans="1:4">
      <c r="A213" s="8"/>
      <c r="B213" s="1"/>
      <c r="C213" s="6"/>
      <c r="D213" s="8"/>
    </row>
    <row r="214" spans="1:4">
      <c r="A214" s="8"/>
      <c r="B214" s="1"/>
      <c r="C214" s="6"/>
      <c r="D214" s="8"/>
    </row>
    <row r="215" spans="1:4">
      <c r="A215" s="8"/>
      <c r="B215" s="1"/>
      <c r="C215" s="6"/>
      <c r="D215" s="8"/>
    </row>
    <row r="216" spans="1:4">
      <c r="A216" s="8"/>
      <c r="B216" s="1"/>
      <c r="C216" s="6"/>
      <c r="D216" s="8"/>
    </row>
    <row r="217" spans="1:4">
      <c r="A217" s="8"/>
      <c r="B217" s="1"/>
      <c r="C217" s="6"/>
      <c r="D217" s="8"/>
    </row>
    <row r="218" spans="1:4">
      <c r="A218" s="8"/>
      <c r="B218" s="1"/>
      <c r="C218" s="6"/>
      <c r="D218" s="8"/>
    </row>
    <row r="219" spans="1:4">
      <c r="A219" s="8"/>
      <c r="B219" s="1"/>
      <c r="C219" s="6"/>
      <c r="D219" s="8"/>
    </row>
    <row r="220" spans="1:4">
      <c r="A220" s="8"/>
      <c r="B220" s="1"/>
      <c r="C220" s="6"/>
      <c r="D220" s="8"/>
    </row>
    <row r="221" spans="1:4">
      <c r="A221" s="8"/>
      <c r="B221" s="1"/>
      <c r="C221" s="6"/>
      <c r="D221" s="8"/>
    </row>
    <row r="222" spans="1:4">
      <c r="A222" s="8"/>
      <c r="B222" s="1"/>
      <c r="C222" s="6"/>
      <c r="D222" s="8"/>
    </row>
    <row r="223" spans="1:4">
      <c r="A223" s="8"/>
      <c r="B223" s="1"/>
      <c r="C223" s="6"/>
      <c r="D223" s="8"/>
    </row>
    <row r="224" spans="1:4">
      <c r="A224" s="8"/>
      <c r="B224" s="1"/>
      <c r="C224" s="6"/>
      <c r="D224" s="8"/>
    </row>
    <row r="225" spans="1:4">
      <c r="A225" s="8"/>
      <c r="B225" s="1"/>
      <c r="C225" s="6"/>
      <c r="D225" s="8"/>
    </row>
    <row r="226" spans="1:4">
      <c r="A226" s="8"/>
      <c r="B226" s="1"/>
      <c r="C226" s="6"/>
      <c r="D226" s="8"/>
    </row>
    <row r="227" spans="1:4">
      <c r="A227" s="8"/>
      <c r="B227" s="1"/>
      <c r="C227" s="6"/>
      <c r="D227" s="8"/>
    </row>
    <row r="228" spans="1:4">
      <c r="A228" s="8"/>
      <c r="B228" s="1"/>
      <c r="C228" s="6"/>
      <c r="D228" s="8"/>
    </row>
    <row r="229" spans="1:4">
      <c r="A229" s="8"/>
      <c r="B229" s="1"/>
      <c r="C229" s="6"/>
      <c r="D229" s="8"/>
    </row>
    <row r="230" spans="1:4">
      <c r="A230" s="8"/>
      <c r="B230" s="1"/>
      <c r="C230" s="6"/>
      <c r="D230" s="8"/>
    </row>
    <row r="231" spans="1:4">
      <c r="A231" s="8"/>
      <c r="B231" s="1"/>
      <c r="C231" s="6"/>
      <c r="D231" s="8"/>
    </row>
    <row r="232" spans="1:4">
      <c r="A232" s="8"/>
      <c r="B232" s="1"/>
      <c r="C232" s="6"/>
      <c r="D232" s="8"/>
    </row>
    <row r="233" spans="1:4">
      <c r="A233" s="8"/>
      <c r="B233" s="1"/>
      <c r="C233" s="6"/>
      <c r="D233" s="8"/>
    </row>
    <row r="234" spans="1:4">
      <c r="A234" s="8"/>
      <c r="B234" s="1"/>
      <c r="C234" s="6"/>
      <c r="D234" s="8"/>
    </row>
    <row r="235" spans="1:4">
      <c r="A235" s="8"/>
      <c r="B235" s="1"/>
      <c r="C235" s="6"/>
      <c r="D235" s="8"/>
    </row>
    <row r="236" spans="1:4">
      <c r="A236" s="8"/>
      <c r="B236" s="1"/>
      <c r="C236" s="6"/>
      <c r="D236" s="8"/>
    </row>
    <row r="237" spans="1:4">
      <c r="A237" s="8"/>
      <c r="B237" s="1"/>
      <c r="C237" s="6"/>
      <c r="D237" s="8"/>
    </row>
    <row r="238" spans="1:4">
      <c r="A238" s="8"/>
      <c r="B238" s="1"/>
      <c r="C238" s="6"/>
      <c r="D238" s="8"/>
    </row>
    <row r="239" spans="1:4">
      <c r="A239" s="8"/>
      <c r="B239" s="1"/>
      <c r="C239" s="6"/>
      <c r="D239" s="8"/>
    </row>
    <row r="240" spans="1:4">
      <c r="A240" s="8"/>
      <c r="B240" s="1"/>
      <c r="C240" s="6"/>
      <c r="D240" s="8"/>
    </row>
    <row r="241" spans="1:4">
      <c r="A241" s="8"/>
      <c r="B241" s="1"/>
      <c r="C241" s="6"/>
      <c r="D241" s="8"/>
    </row>
    <row r="242" spans="1:4">
      <c r="A242" s="8"/>
      <c r="B242" s="1"/>
      <c r="C242" s="6"/>
      <c r="D242" s="8"/>
    </row>
    <row r="243" spans="1:4">
      <c r="A243" s="8"/>
      <c r="B243" s="1"/>
      <c r="C243" s="6"/>
      <c r="D243" s="8"/>
    </row>
    <row r="244" spans="1:4">
      <c r="A244" s="8"/>
      <c r="B244" s="1"/>
      <c r="C244" s="6"/>
      <c r="D244" s="8"/>
    </row>
    <row r="245" spans="1:4">
      <c r="A245" s="8"/>
      <c r="B245" s="1"/>
      <c r="C245" s="6"/>
      <c r="D245" s="8"/>
    </row>
    <row r="246" spans="1:4">
      <c r="A246" s="8"/>
      <c r="B246" s="1"/>
      <c r="C246" s="6"/>
      <c r="D246" s="8"/>
    </row>
    <row r="247" spans="1:4">
      <c r="A247" s="8"/>
      <c r="B247" s="1"/>
      <c r="C247" s="6"/>
      <c r="D247" s="8"/>
    </row>
    <row r="248" spans="1:4">
      <c r="A248" s="8"/>
      <c r="B248" s="1"/>
      <c r="C248" s="6"/>
      <c r="D248" s="8"/>
    </row>
    <row r="249" spans="1:4">
      <c r="A249" s="8"/>
      <c r="B249" s="1"/>
      <c r="C249" s="6"/>
      <c r="D249" s="8"/>
    </row>
    <row r="250" spans="1:4">
      <c r="A250" s="8"/>
      <c r="B250" s="1"/>
      <c r="C250" s="6"/>
      <c r="D250" s="8"/>
    </row>
    <row r="251" spans="1:4">
      <c r="A251" s="8"/>
      <c r="B251" s="1"/>
      <c r="C251" s="6"/>
      <c r="D251" s="8"/>
    </row>
    <row r="252" spans="1:4">
      <c r="A252" s="8"/>
      <c r="B252" s="1"/>
      <c r="C252" s="6"/>
      <c r="D252" s="8"/>
    </row>
    <row r="253" spans="1:4">
      <c r="A253" s="8"/>
      <c r="B253" s="1"/>
      <c r="C253" s="6"/>
      <c r="D253" s="8"/>
    </row>
    <row r="254" spans="1:4">
      <c r="A254" s="8"/>
      <c r="B254" s="1"/>
      <c r="C254" s="6"/>
      <c r="D254" s="8"/>
    </row>
    <row r="255" spans="1:4">
      <c r="A255" s="8"/>
      <c r="B255" s="1"/>
      <c r="C255" s="6"/>
      <c r="D255" s="8"/>
    </row>
    <row r="256" spans="1:4">
      <c r="A256" s="8"/>
      <c r="B256" s="1"/>
      <c r="C256" s="6"/>
      <c r="D256" s="8"/>
    </row>
    <row r="257" spans="1:4">
      <c r="A257" s="8"/>
      <c r="B257" s="1"/>
      <c r="C257" s="6"/>
      <c r="D257" s="8"/>
    </row>
    <row r="258" spans="1:4">
      <c r="A258" s="8"/>
      <c r="B258" s="1"/>
      <c r="C258" s="6"/>
      <c r="D258" s="8"/>
    </row>
    <row r="259" spans="1:4">
      <c r="A259" s="8"/>
      <c r="B259" s="1"/>
      <c r="C259" s="6"/>
      <c r="D259" s="8"/>
    </row>
    <row r="260" spans="1:4">
      <c r="A260" s="8"/>
      <c r="B260" s="1"/>
      <c r="C260" s="6"/>
      <c r="D260" s="8"/>
    </row>
    <row r="261" spans="1:4">
      <c r="A261" s="8"/>
      <c r="B261" s="8"/>
      <c r="C261" s="6"/>
      <c r="D261" s="8"/>
    </row>
    <row r="262" spans="1:4">
      <c r="A262" s="8"/>
      <c r="B262" s="8"/>
      <c r="C262" s="6"/>
      <c r="D262" s="8"/>
    </row>
    <row r="263" spans="1:4">
      <c r="A263" s="8"/>
      <c r="B263" s="8"/>
      <c r="C263" s="6"/>
      <c r="D263" s="8"/>
    </row>
    <row r="264" spans="1:4">
      <c r="A264" s="8"/>
      <c r="B264" s="8"/>
      <c r="C264" s="6"/>
      <c r="D264" s="8"/>
    </row>
    <row r="265" spans="1:4">
      <c r="A265" s="8"/>
      <c r="B265" s="8"/>
      <c r="C265" s="6"/>
      <c r="D265" s="8"/>
    </row>
    <row r="266" spans="1:4">
      <c r="A266" s="8"/>
      <c r="B266" s="8"/>
      <c r="C266" s="6"/>
      <c r="D266" s="8"/>
    </row>
    <row r="267" spans="1:4">
      <c r="A267" s="8"/>
      <c r="B267" s="8"/>
      <c r="C267" s="6"/>
      <c r="D267" s="8"/>
    </row>
    <row r="268" spans="1:4">
      <c r="A268" s="8"/>
      <c r="B268" s="8"/>
      <c r="C268" s="6"/>
      <c r="D268" s="8"/>
    </row>
    <row r="269" spans="1:4">
      <c r="A269" s="8"/>
      <c r="B269" s="8"/>
      <c r="C269" s="6"/>
      <c r="D269" s="8"/>
    </row>
    <row r="270" spans="1:4">
      <c r="A270" s="8"/>
      <c r="B270" s="8"/>
      <c r="C270" s="6"/>
      <c r="D270" s="8"/>
    </row>
    <row r="271" spans="1:4">
      <c r="A271" s="8"/>
      <c r="B271" s="8"/>
      <c r="C271" s="6"/>
      <c r="D271" s="8"/>
    </row>
    <row r="272" spans="1:4">
      <c r="A272" s="8"/>
      <c r="B272" s="8"/>
      <c r="C272" s="6"/>
      <c r="D272" s="8"/>
    </row>
    <row r="273" spans="1:4">
      <c r="A273" s="8"/>
      <c r="B273" s="8"/>
      <c r="C273" s="6"/>
      <c r="D273" s="8"/>
    </row>
    <row r="274" spans="1:4">
      <c r="A274" s="8"/>
      <c r="B274" s="8"/>
      <c r="C274" s="6"/>
      <c r="D274" s="8"/>
    </row>
    <row r="275" spans="1:4">
      <c r="A275" s="8"/>
      <c r="B275" s="8"/>
      <c r="C275" s="6"/>
      <c r="D275" s="8"/>
    </row>
    <row r="276" spans="1:4">
      <c r="A276" s="8"/>
      <c r="B276" s="8"/>
      <c r="C276" s="6"/>
      <c r="D276" s="8"/>
    </row>
    <row r="277" spans="1:4">
      <c r="A277" s="8"/>
      <c r="B277" s="8"/>
      <c r="C277" s="6"/>
      <c r="D277" s="8"/>
    </row>
    <row r="278" spans="1:4">
      <c r="A278" s="8"/>
      <c r="B278" s="8"/>
      <c r="C278" s="6"/>
      <c r="D278" s="8"/>
    </row>
    <row r="279" spans="1:4">
      <c r="A279" s="8"/>
      <c r="B279" s="8"/>
      <c r="C279" s="6"/>
      <c r="D279" s="8"/>
    </row>
    <row r="280" spans="1:4">
      <c r="A280" s="8"/>
      <c r="B280" s="8"/>
      <c r="C280" s="6"/>
      <c r="D280" s="8"/>
    </row>
    <row r="281" spans="1:4">
      <c r="A281" s="8"/>
      <c r="B281" s="8"/>
      <c r="C281" s="6"/>
      <c r="D281" s="8"/>
    </row>
    <row r="282" spans="1:4">
      <c r="A282" s="8"/>
      <c r="B282" s="8"/>
      <c r="C282" s="6"/>
      <c r="D282" s="8"/>
    </row>
    <row r="283" spans="1:4">
      <c r="A283" s="8"/>
      <c r="B283" s="8"/>
      <c r="C283" s="6"/>
      <c r="D283" s="8"/>
    </row>
    <row r="284" spans="1:4">
      <c r="A284" s="8"/>
      <c r="B284" s="8"/>
      <c r="C284" s="6"/>
      <c r="D284" s="8"/>
    </row>
    <row r="285" spans="1:4">
      <c r="A285" s="8"/>
      <c r="B285" s="8"/>
      <c r="C285" s="6"/>
      <c r="D285" s="8"/>
    </row>
    <row r="286" spans="1:4">
      <c r="A286" s="8"/>
      <c r="B286" s="8"/>
      <c r="C286" s="6"/>
      <c r="D286" s="8"/>
    </row>
    <row r="287" spans="1:4">
      <c r="A287" s="8"/>
      <c r="B287" s="8"/>
      <c r="C287" s="6"/>
      <c r="D287" s="8"/>
    </row>
    <row r="288" spans="1:4">
      <c r="A288" s="8"/>
      <c r="B288" s="8"/>
      <c r="C288" s="6"/>
      <c r="D288" s="8"/>
    </row>
    <row r="289" spans="1:4">
      <c r="A289" s="8"/>
      <c r="B289" s="8"/>
      <c r="C289" s="6"/>
      <c r="D289" s="8"/>
    </row>
    <row r="290" spans="1:4">
      <c r="A290" s="8"/>
      <c r="B290" s="8"/>
      <c r="C290" s="6"/>
      <c r="D290" s="8"/>
    </row>
    <row r="291" spans="1:4">
      <c r="A291" s="8"/>
      <c r="B291" s="8"/>
      <c r="C291" s="6"/>
      <c r="D291" s="8"/>
    </row>
    <row r="292" spans="1:4">
      <c r="A292" s="8"/>
      <c r="B292" s="8"/>
      <c r="C292" s="6"/>
      <c r="D292" s="8"/>
    </row>
    <row r="293" spans="1:4">
      <c r="A293" s="8"/>
      <c r="B293" s="8"/>
      <c r="C293" s="6"/>
      <c r="D293" s="8"/>
    </row>
    <row r="294" spans="1:4">
      <c r="A294" s="8"/>
      <c r="B294" s="8"/>
      <c r="C294" s="6"/>
      <c r="D294" s="8"/>
    </row>
    <row r="295" spans="1:4">
      <c r="A295" s="8"/>
      <c r="B295" s="8"/>
      <c r="C295" s="6"/>
      <c r="D295" s="8"/>
    </row>
    <row r="296" spans="1:4">
      <c r="A296" s="8"/>
      <c r="B296" s="8"/>
      <c r="C296" s="6"/>
      <c r="D296" s="8"/>
    </row>
    <row r="297" spans="1:4">
      <c r="A297" s="8"/>
      <c r="B297" s="8"/>
      <c r="C297" s="6"/>
      <c r="D297" s="8"/>
    </row>
    <row r="298" spans="1:4">
      <c r="A298" s="8"/>
      <c r="B298" s="8"/>
      <c r="C298" s="6"/>
      <c r="D298" s="8"/>
    </row>
    <row r="299" spans="1:4">
      <c r="A299" s="8"/>
      <c r="B299" s="8"/>
      <c r="C299" s="6"/>
      <c r="D299" s="8"/>
    </row>
    <row r="300" spans="1:4">
      <c r="A300" s="8"/>
      <c r="B300" s="8"/>
      <c r="C300" s="6"/>
      <c r="D300" s="8"/>
    </row>
    <row r="301" spans="1:4">
      <c r="A301" s="8"/>
      <c r="B301" s="8"/>
      <c r="C301" s="6"/>
      <c r="D301" s="8"/>
    </row>
    <row r="302" spans="1:4">
      <c r="A302" s="8"/>
      <c r="B302" s="8"/>
      <c r="C302" s="6"/>
      <c r="D302" s="8"/>
    </row>
    <row r="303" spans="1:4">
      <c r="A303" s="8"/>
      <c r="B303" s="8"/>
      <c r="C303" s="6"/>
      <c r="D303" s="8"/>
    </row>
    <row r="304" spans="1:4">
      <c r="A304" s="8"/>
      <c r="B304" s="8"/>
      <c r="C304" s="6"/>
      <c r="D304" s="8"/>
    </row>
    <row r="305" spans="1:4">
      <c r="A305" s="8"/>
      <c r="B305" s="8"/>
      <c r="C305" s="6"/>
      <c r="D305" s="8"/>
    </row>
    <row r="306" spans="1:4">
      <c r="A306" s="8"/>
      <c r="B306" s="8"/>
      <c r="C306" s="6"/>
      <c r="D306" s="8"/>
    </row>
    <row r="307" spans="1:4">
      <c r="A307" s="8"/>
      <c r="B307" s="8"/>
      <c r="C307" s="6"/>
      <c r="D307" s="8"/>
    </row>
    <row r="308" spans="1:4">
      <c r="A308" s="8"/>
      <c r="B308" s="8"/>
      <c r="C308" s="6"/>
      <c r="D308" s="8"/>
    </row>
    <row r="309" spans="1:4">
      <c r="A309" s="8"/>
      <c r="B309" s="8"/>
      <c r="C309" s="6"/>
      <c r="D309" s="8"/>
    </row>
  </sheetData>
  <phoneticPr fontId="5" type="noConversion"/>
  <dataValidations count="1">
    <dataValidation type="list" allowBlank="1" showInputMessage="1" showErrorMessage="1" sqref="F2" xr:uid="{522BFB57-EE4D-4F1F-B746-CD6D62FB35AA}">
      <formula1>$B$2:$B$101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E865-CE29-4B59-BFD7-1552AC890A9B}">
  <dimension ref="A1:H309"/>
  <sheetViews>
    <sheetView showGridLines="0" zoomScale="120" zoomScaleNormal="120" workbookViewId="0">
      <selection activeCell="G3" sqref="G3"/>
    </sheetView>
  </sheetViews>
  <sheetFormatPr defaultColWidth="9.140625" defaultRowHeight="15.6"/>
  <cols>
    <col min="1" max="5" width="13.5703125" style="9" customWidth="1"/>
    <col min="6" max="6" width="9.140625" style="1"/>
    <col min="7" max="8" width="16.7109375" style="1" customWidth="1"/>
    <col min="9" max="16384" width="9.140625" style="1"/>
  </cols>
  <sheetData>
    <row r="1" spans="1:8">
      <c r="A1" s="7" t="s">
        <v>0</v>
      </c>
      <c r="B1" s="7" t="s">
        <v>207</v>
      </c>
      <c r="C1" s="7" t="s">
        <v>208</v>
      </c>
      <c r="D1" s="7" t="s">
        <v>2</v>
      </c>
      <c r="E1" s="7" t="s">
        <v>3</v>
      </c>
      <c r="G1" s="4" t="s">
        <v>1</v>
      </c>
      <c r="H1" s="13" t="s">
        <v>3</v>
      </c>
    </row>
    <row r="2" spans="1:8">
      <c r="A2" s="8" t="s">
        <v>4</v>
      </c>
      <c r="B2" s="1" t="s">
        <v>5</v>
      </c>
      <c r="C2" s="1" t="s">
        <v>209</v>
      </c>
      <c r="D2" s="10">
        <v>2434</v>
      </c>
      <c r="E2" s="8" t="s">
        <v>6</v>
      </c>
      <c r="G2" s="12" t="s">
        <v>210</v>
      </c>
      <c r="H2" s="2" t="str">
        <f>_xlfn.XLOOKUP(G2,B:B,E:E,"Não Encontrado")</f>
        <v>Não Encontrado</v>
      </c>
    </row>
    <row r="3" spans="1:8">
      <c r="A3" s="8" t="s">
        <v>8</v>
      </c>
      <c r="B3" s="1" t="s">
        <v>9</v>
      </c>
      <c r="C3" s="1"/>
      <c r="D3" s="10">
        <v>8222</v>
      </c>
      <c r="E3" s="8" t="s">
        <v>10</v>
      </c>
    </row>
    <row r="4" spans="1:8">
      <c r="A4" s="8" t="s">
        <v>11</v>
      </c>
      <c r="B4" s="1" t="s">
        <v>12</v>
      </c>
      <c r="C4" s="1"/>
      <c r="D4" s="10">
        <v>1016</v>
      </c>
      <c r="E4" s="8" t="s">
        <v>13</v>
      </c>
      <c r="G4" s="4" t="s">
        <v>1</v>
      </c>
      <c r="H4" s="13" t="s">
        <v>3</v>
      </c>
    </row>
    <row r="5" spans="1:8">
      <c r="A5" s="8" t="s">
        <v>14</v>
      </c>
      <c r="B5" s="1" t="s">
        <v>15</v>
      </c>
      <c r="C5" s="1"/>
      <c r="D5" s="10">
        <v>6531</v>
      </c>
      <c r="E5" s="8" t="s">
        <v>13</v>
      </c>
      <c r="G5" s="12" t="s">
        <v>210</v>
      </c>
      <c r="H5" s="2" t="str">
        <f>_xlfn.XLOOKUP(G5,B:B,E:E,_xlfn.XLOOKUP(G5,C:C,E:E,"Não Encontrado"))</f>
        <v>Beta</v>
      </c>
    </row>
    <row r="6" spans="1:8">
      <c r="A6" s="8" t="s">
        <v>16</v>
      </c>
      <c r="B6" s="1" t="s">
        <v>17</v>
      </c>
      <c r="C6" s="1"/>
      <c r="D6" s="10">
        <v>8521</v>
      </c>
      <c r="E6" s="8" t="s">
        <v>10</v>
      </c>
    </row>
    <row r="7" spans="1:8">
      <c r="A7" s="8" t="s">
        <v>18</v>
      </c>
      <c r="B7" s="1" t="s">
        <v>19</v>
      </c>
      <c r="C7" s="1" t="s">
        <v>210</v>
      </c>
      <c r="D7" s="10">
        <v>2924</v>
      </c>
      <c r="E7" s="8" t="s">
        <v>10</v>
      </c>
    </row>
    <row r="8" spans="1:8">
      <c r="A8" s="8" t="s">
        <v>20</v>
      </c>
      <c r="B8" s="1" t="s">
        <v>21</v>
      </c>
      <c r="C8" s="1"/>
      <c r="D8" s="10">
        <v>1232</v>
      </c>
      <c r="E8" s="8" t="s">
        <v>6</v>
      </c>
    </row>
    <row r="9" spans="1:8">
      <c r="A9" s="8" t="s">
        <v>22</v>
      </c>
      <c r="B9" s="1" t="s">
        <v>23</v>
      </c>
      <c r="C9" s="1"/>
      <c r="D9" s="10">
        <v>948</v>
      </c>
      <c r="E9" s="8" t="s">
        <v>6</v>
      </c>
    </row>
    <row r="10" spans="1:8">
      <c r="A10" s="8" t="s">
        <v>24</v>
      </c>
      <c r="B10" s="1" t="s">
        <v>25</v>
      </c>
      <c r="C10" s="1"/>
      <c r="D10" s="10">
        <v>1750</v>
      </c>
      <c r="E10" s="8" t="s">
        <v>10</v>
      </c>
    </row>
    <row r="11" spans="1:8">
      <c r="A11" s="8" t="s">
        <v>26</v>
      </c>
      <c r="B11" s="1" t="s">
        <v>27</v>
      </c>
      <c r="C11" s="1"/>
      <c r="D11" s="10">
        <v>7918</v>
      </c>
      <c r="E11" s="8" t="s">
        <v>10</v>
      </c>
    </row>
    <row r="12" spans="1:8">
      <c r="A12" s="8" t="s">
        <v>28</v>
      </c>
      <c r="B12" s="1" t="s">
        <v>29</v>
      </c>
      <c r="C12" s="1" t="s">
        <v>211</v>
      </c>
      <c r="D12" s="10">
        <v>1370</v>
      </c>
      <c r="E12" s="8" t="s">
        <v>6</v>
      </c>
    </row>
    <row r="13" spans="1:8">
      <c r="A13" s="8" t="s">
        <v>30</v>
      </c>
      <c r="B13" s="1" t="s">
        <v>31</v>
      </c>
      <c r="C13" s="1"/>
      <c r="D13" s="10">
        <v>9365</v>
      </c>
      <c r="E13" s="8" t="s">
        <v>13</v>
      </c>
    </row>
    <row r="14" spans="1:8">
      <c r="A14" s="8" t="s">
        <v>32</v>
      </c>
      <c r="B14" s="1" t="s">
        <v>33</v>
      </c>
      <c r="C14" s="1"/>
      <c r="D14" s="10">
        <v>6228</v>
      </c>
      <c r="E14" s="8" t="s">
        <v>13</v>
      </c>
    </row>
    <row r="15" spans="1:8">
      <c r="A15" s="8" t="s">
        <v>34</v>
      </c>
      <c r="B15" s="1" t="s">
        <v>35</v>
      </c>
      <c r="C15" s="1"/>
      <c r="D15" s="10">
        <v>1248</v>
      </c>
      <c r="E15" s="8" t="s">
        <v>10</v>
      </c>
    </row>
    <row r="16" spans="1:8">
      <c r="A16" s="8" t="s">
        <v>36</v>
      </c>
      <c r="B16" s="1" t="s">
        <v>37</v>
      </c>
      <c r="C16" s="1" t="s">
        <v>212</v>
      </c>
      <c r="D16" s="10">
        <v>5828</v>
      </c>
      <c r="E16" s="8" t="s">
        <v>13</v>
      </c>
    </row>
    <row r="17" spans="1:5">
      <c r="A17" s="8" t="s">
        <v>38</v>
      </c>
      <c r="B17" s="1" t="s">
        <v>39</v>
      </c>
      <c r="C17" s="1"/>
      <c r="D17" s="10">
        <v>5701</v>
      </c>
      <c r="E17" s="8" t="s">
        <v>10</v>
      </c>
    </row>
    <row r="18" spans="1:5">
      <c r="A18" s="8" t="s">
        <v>40</v>
      </c>
      <c r="B18" s="1" t="s">
        <v>41</v>
      </c>
      <c r="C18" s="1"/>
      <c r="D18" s="10">
        <v>7500</v>
      </c>
      <c r="E18" s="8" t="s">
        <v>13</v>
      </c>
    </row>
    <row r="19" spans="1:5">
      <c r="A19" s="8" t="s">
        <v>42</v>
      </c>
      <c r="B19" s="1" t="s">
        <v>43</v>
      </c>
      <c r="C19" s="1"/>
      <c r="D19" s="10">
        <v>5565</v>
      </c>
      <c r="E19" s="8" t="s">
        <v>6</v>
      </c>
    </row>
    <row r="20" spans="1:5">
      <c r="A20" s="8" t="s">
        <v>44</v>
      </c>
      <c r="B20" s="1" t="s">
        <v>45</v>
      </c>
      <c r="C20" s="1" t="s">
        <v>213</v>
      </c>
      <c r="D20" s="10">
        <v>5900</v>
      </c>
      <c r="E20" s="8" t="s">
        <v>10</v>
      </c>
    </row>
    <row r="21" spans="1:5">
      <c r="A21" s="8" t="s">
        <v>46</v>
      </c>
      <c r="B21" s="1" t="s">
        <v>47</v>
      </c>
      <c r="C21" s="1"/>
      <c r="D21" s="10">
        <v>608</v>
      </c>
      <c r="E21" s="8" t="s">
        <v>6</v>
      </c>
    </row>
    <row r="22" spans="1:5">
      <c r="A22" s="8" t="s">
        <v>48</v>
      </c>
      <c r="B22" s="1" t="s">
        <v>7</v>
      </c>
      <c r="C22" s="1"/>
      <c r="D22" s="10">
        <v>819</v>
      </c>
      <c r="E22" s="8" t="s">
        <v>13</v>
      </c>
    </row>
    <row r="23" spans="1:5">
      <c r="A23" s="8" t="s">
        <v>49</v>
      </c>
      <c r="B23" s="1" t="s">
        <v>50</v>
      </c>
      <c r="C23" s="1" t="s">
        <v>214</v>
      </c>
      <c r="D23" s="10">
        <v>564</v>
      </c>
      <c r="E23" s="8" t="s">
        <v>13</v>
      </c>
    </row>
    <row r="24" spans="1:5">
      <c r="A24" s="8" t="s">
        <v>51</v>
      </c>
      <c r="B24" s="1" t="s">
        <v>52</v>
      </c>
      <c r="C24" s="1"/>
      <c r="D24" s="10">
        <v>7861</v>
      </c>
      <c r="E24" s="8" t="s">
        <v>6</v>
      </c>
    </row>
    <row r="25" spans="1:5">
      <c r="A25" s="8" t="s">
        <v>53</v>
      </c>
      <c r="B25" s="1" t="s">
        <v>54</v>
      </c>
      <c r="C25" s="1"/>
      <c r="D25" s="10">
        <v>731</v>
      </c>
      <c r="E25" s="8" t="s">
        <v>6</v>
      </c>
    </row>
    <row r="26" spans="1:5">
      <c r="A26" s="8" t="s">
        <v>55</v>
      </c>
      <c r="B26" s="1" t="s">
        <v>56</v>
      </c>
      <c r="C26" s="1"/>
      <c r="D26" s="10">
        <v>7150</v>
      </c>
      <c r="E26" s="8" t="s">
        <v>10</v>
      </c>
    </row>
    <row r="27" spans="1:5">
      <c r="A27" s="8" t="s">
        <v>57</v>
      </c>
      <c r="B27" s="1" t="s">
        <v>58</v>
      </c>
      <c r="C27" s="1"/>
      <c r="D27" s="10">
        <v>9927</v>
      </c>
      <c r="E27" s="8" t="s">
        <v>6</v>
      </c>
    </row>
    <row r="28" spans="1:5">
      <c r="A28" s="8" t="s">
        <v>59</v>
      </c>
      <c r="B28" s="1" t="s">
        <v>60</v>
      </c>
      <c r="C28" s="1"/>
      <c r="D28" s="10">
        <v>2219</v>
      </c>
      <c r="E28" s="8" t="s">
        <v>10</v>
      </c>
    </row>
    <row r="29" spans="1:5">
      <c r="A29" s="8" t="s">
        <v>61</v>
      </c>
      <c r="B29" s="1" t="s">
        <v>62</v>
      </c>
      <c r="C29" s="1"/>
      <c r="D29" s="10">
        <v>3079</v>
      </c>
      <c r="E29" s="8" t="s">
        <v>13</v>
      </c>
    </row>
    <row r="30" spans="1:5">
      <c r="A30" s="8" t="s">
        <v>63</v>
      </c>
      <c r="B30" s="1" t="s">
        <v>64</v>
      </c>
      <c r="C30" s="1"/>
      <c r="D30" s="10">
        <v>7887</v>
      </c>
      <c r="E30" s="8" t="s">
        <v>10</v>
      </c>
    </row>
    <row r="31" spans="1:5">
      <c r="A31" s="8" t="s">
        <v>65</v>
      </c>
      <c r="B31" s="1" t="s">
        <v>66</v>
      </c>
      <c r="C31" s="1" t="s">
        <v>215</v>
      </c>
      <c r="D31" s="10">
        <v>6912</v>
      </c>
      <c r="E31" s="8" t="s">
        <v>6</v>
      </c>
    </row>
    <row r="32" spans="1:5">
      <c r="A32" s="8" t="s">
        <v>67</v>
      </c>
      <c r="B32" s="1" t="s">
        <v>68</v>
      </c>
      <c r="C32" s="1"/>
      <c r="D32" s="10">
        <v>6202</v>
      </c>
      <c r="E32" s="8" t="s">
        <v>10</v>
      </c>
    </row>
    <row r="33" spans="1:5">
      <c r="A33" s="8" t="s">
        <v>69</v>
      </c>
      <c r="B33" s="1" t="s">
        <v>70</v>
      </c>
      <c r="C33" s="1"/>
      <c r="D33" s="10">
        <v>3042</v>
      </c>
      <c r="E33" s="8" t="s">
        <v>6</v>
      </c>
    </row>
    <row r="34" spans="1:5">
      <c r="A34" s="8" t="s">
        <v>71</v>
      </c>
      <c r="B34" s="1" t="s">
        <v>72</v>
      </c>
      <c r="C34" s="1"/>
      <c r="D34" s="10">
        <v>1430</v>
      </c>
      <c r="E34" s="8" t="s">
        <v>10</v>
      </c>
    </row>
    <row r="35" spans="1:5">
      <c r="A35" s="8" t="s">
        <v>73</v>
      </c>
      <c r="B35" s="1" t="s">
        <v>74</v>
      </c>
      <c r="C35" s="1"/>
      <c r="D35" s="10">
        <v>2892</v>
      </c>
      <c r="E35" s="8" t="s">
        <v>10</v>
      </c>
    </row>
    <row r="36" spans="1:5">
      <c r="A36" s="8" t="s">
        <v>75</v>
      </c>
      <c r="B36" s="1" t="s">
        <v>76</v>
      </c>
      <c r="C36" s="1"/>
      <c r="D36" s="10">
        <v>9172</v>
      </c>
      <c r="E36" s="8" t="s">
        <v>13</v>
      </c>
    </row>
    <row r="37" spans="1:5">
      <c r="A37" s="8" t="s">
        <v>77</v>
      </c>
      <c r="B37" s="1" t="s">
        <v>78</v>
      </c>
      <c r="C37" s="1"/>
      <c r="D37" s="10">
        <v>357</v>
      </c>
      <c r="E37" s="8" t="s">
        <v>10</v>
      </c>
    </row>
    <row r="38" spans="1:5">
      <c r="A38" s="8" t="s">
        <v>79</v>
      </c>
      <c r="B38" s="1" t="s">
        <v>80</v>
      </c>
      <c r="C38" s="1"/>
      <c r="D38" s="10">
        <v>619</v>
      </c>
      <c r="E38" s="8" t="s">
        <v>6</v>
      </c>
    </row>
    <row r="39" spans="1:5">
      <c r="A39" s="8" t="s">
        <v>81</v>
      </c>
      <c r="B39" s="1" t="s">
        <v>82</v>
      </c>
      <c r="C39" s="1"/>
      <c r="D39" s="10">
        <v>7088</v>
      </c>
      <c r="E39" s="8" t="s">
        <v>13</v>
      </c>
    </row>
    <row r="40" spans="1:5">
      <c r="A40" s="8" t="s">
        <v>83</v>
      </c>
      <c r="B40" s="1" t="s">
        <v>84</v>
      </c>
      <c r="C40" s="1"/>
      <c r="D40" s="10">
        <v>9380</v>
      </c>
      <c r="E40" s="8" t="s">
        <v>10</v>
      </c>
    </row>
    <row r="41" spans="1:5">
      <c r="A41" s="8" t="s">
        <v>85</v>
      </c>
      <c r="B41" s="1" t="s">
        <v>86</v>
      </c>
      <c r="C41" s="1"/>
      <c r="D41" s="10">
        <v>3330</v>
      </c>
      <c r="E41" s="8" t="s">
        <v>10</v>
      </c>
    </row>
    <row r="42" spans="1:5">
      <c r="A42" s="8" t="s">
        <v>87</v>
      </c>
      <c r="B42" s="1" t="s">
        <v>88</v>
      </c>
      <c r="C42" s="1"/>
      <c r="D42" s="10">
        <v>9746</v>
      </c>
      <c r="E42" s="8" t="s">
        <v>13</v>
      </c>
    </row>
    <row r="43" spans="1:5">
      <c r="A43" s="8" t="s">
        <v>89</v>
      </c>
      <c r="B43" s="1" t="s">
        <v>90</v>
      </c>
      <c r="C43" s="1"/>
      <c r="D43" s="10">
        <v>9226</v>
      </c>
      <c r="E43" s="8" t="s">
        <v>13</v>
      </c>
    </row>
    <row r="44" spans="1:5">
      <c r="A44" s="8" t="s">
        <v>91</v>
      </c>
      <c r="B44" s="1" t="s">
        <v>92</v>
      </c>
      <c r="C44" s="1"/>
      <c r="D44" s="10">
        <v>5808</v>
      </c>
      <c r="E44" s="8" t="s">
        <v>13</v>
      </c>
    </row>
    <row r="45" spans="1:5">
      <c r="A45" s="8" t="s">
        <v>93</v>
      </c>
      <c r="B45" s="1" t="s">
        <v>94</v>
      </c>
      <c r="C45" s="1"/>
      <c r="D45" s="10">
        <v>6838</v>
      </c>
      <c r="E45" s="8" t="s">
        <v>6</v>
      </c>
    </row>
    <row r="46" spans="1:5">
      <c r="A46" s="8" t="s">
        <v>95</v>
      </c>
      <c r="B46" s="1" t="s">
        <v>96</v>
      </c>
      <c r="C46" s="1"/>
      <c r="D46" s="10">
        <v>6330</v>
      </c>
      <c r="E46" s="8" t="s">
        <v>6</v>
      </c>
    </row>
    <row r="47" spans="1:5">
      <c r="A47" s="8" t="s">
        <v>97</v>
      </c>
      <c r="B47" s="1" t="s">
        <v>98</v>
      </c>
      <c r="C47" s="1" t="s">
        <v>216</v>
      </c>
      <c r="D47" s="10">
        <v>701</v>
      </c>
      <c r="E47" s="8" t="s">
        <v>6</v>
      </c>
    </row>
    <row r="48" spans="1:5">
      <c r="A48" s="8" t="s">
        <v>99</v>
      </c>
      <c r="B48" s="1" t="s">
        <v>100</v>
      </c>
      <c r="C48" s="1"/>
      <c r="D48" s="10">
        <v>7196</v>
      </c>
      <c r="E48" s="8" t="s">
        <v>10</v>
      </c>
    </row>
    <row r="49" spans="1:5">
      <c r="A49" s="8" t="s">
        <v>101</v>
      </c>
      <c r="B49" s="1" t="s">
        <v>102</v>
      </c>
      <c r="C49" s="1"/>
      <c r="D49" s="10">
        <v>6864</v>
      </c>
      <c r="E49" s="8" t="s">
        <v>6</v>
      </c>
    </row>
    <row r="50" spans="1:5">
      <c r="A50" s="8" t="s">
        <v>103</v>
      </c>
      <c r="B50" s="1" t="s">
        <v>104</v>
      </c>
      <c r="C50" s="1"/>
      <c r="D50" s="10">
        <v>1587</v>
      </c>
      <c r="E50" s="8" t="s">
        <v>6</v>
      </c>
    </row>
    <row r="51" spans="1:5">
      <c r="A51" s="8" t="s">
        <v>105</v>
      </c>
      <c r="B51" s="1" t="s">
        <v>106</v>
      </c>
      <c r="C51" s="1"/>
      <c r="D51" s="10">
        <v>4717</v>
      </c>
      <c r="E51" s="8" t="s">
        <v>13</v>
      </c>
    </row>
    <row r="52" spans="1:5">
      <c r="A52" s="8" t="s">
        <v>107</v>
      </c>
      <c r="B52" s="1" t="s">
        <v>108</v>
      </c>
      <c r="C52" s="1"/>
      <c r="D52" s="10">
        <v>6880</v>
      </c>
      <c r="E52" s="8" t="s">
        <v>10</v>
      </c>
    </row>
    <row r="53" spans="1:5">
      <c r="A53" s="8" t="s">
        <v>109</v>
      </c>
      <c r="B53" s="1" t="s">
        <v>110</v>
      </c>
      <c r="C53" s="1"/>
      <c r="D53" s="10">
        <v>4853</v>
      </c>
      <c r="E53" s="8" t="s">
        <v>13</v>
      </c>
    </row>
    <row r="54" spans="1:5">
      <c r="A54" s="8" t="s">
        <v>111</v>
      </c>
      <c r="B54" s="1" t="s">
        <v>112</v>
      </c>
      <c r="C54" s="1"/>
      <c r="D54" s="10">
        <v>801</v>
      </c>
      <c r="E54" s="8" t="s">
        <v>10</v>
      </c>
    </row>
    <row r="55" spans="1:5">
      <c r="A55" s="8" t="s">
        <v>113</v>
      </c>
      <c r="B55" s="1" t="s">
        <v>114</v>
      </c>
      <c r="C55" s="1"/>
      <c r="D55" s="10">
        <v>1928</v>
      </c>
      <c r="E55" s="8" t="s">
        <v>13</v>
      </c>
    </row>
    <row r="56" spans="1:5">
      <c r="A56" s="8" t="s">
        <v>115</v>
      </c>
      <c r="B56" s="1" t="s">
        <v>116</v>
      </c>
      <c r="C56" s="1"/>
      <c r="D56" s="10">
        <v>1028</v>
      </c>
      <c r="E56" s="8" t="s">
        <v>13</v>
      </c>
    </row>
    <row r="57" spans="1:5">
      <c r="A57" s="8" t="s">
        <v>117</v>
      </c>
      <c r="B57" s="1" t="s">
        <v>118</v>
      </c>
      <c r="C57" s="1"/>
      <c r="D57" s="10">
        <v>5895</v>
      </c>
      <c r="E57" s="8" t="s">
        <v>10</v>
      </c>
    </row>
    <row r="58" spans="1:5">
      <c r="A58" s="8" t="s">
        <v>119</v>
      </c>
      <c r="B58" s="1" t="s">
        <v>120</v>
      </c>
      <c r="C58" s="1"/>
      <c r="D58" s="10">
        <v>6489</v>
      </c>
      <c r="E58" s="8" t="s">
        <v>6</v>
      </c>
    </row>
    <row r="59" spans="1:5">
      <c r="A59" s="8" t="s">
        <v>121</v>
      </c>
      <c r="B59" s="1" t="s">
        <v>122</v>
      </c>
      <c r="C59" s="1"/>
      <c r="D59" s="10">
        <v>9959</v>
      </c>
      <c r="E59" s="8" t="s">
        <v>10</v>
      </c>
    </row>
    <row r="60" spans="1:5">
      <c r="A60" s="8" t="s">
        <v>123</v>
      </c>
      <c r="B60" s="1" t="s">
        <v>124</v>
      </c>
      <c r="C60" s="1"/>
      <c r="D60" s="10">
        <v>620</v>
      </c>
      <c r="E60" s="8" t="s">
        <v>13</v>
      </c>
    </row>
    <row r="61" spans="1:5">
      <c r="A61" s="8" t="s">
        <v>125</v>
      </c>
      <c r="B61" s="1" t="s">
        <v>126</v>
      </c>
      <c r="C61" s="1"/>
      <c r="D61" s="10">
        <v>7231</v>
      </c>
      <c r="E61" s="8" t="s">
        <v>13</v>
      </c>
    </row>
    <row r="62" spans="1:5">
      <c r="A62" s="8" t="s">
        <v>127</v>
      </c>
      <c r="B62" s="1" t="s">
        <v>128</v>
      </c>
      <c r="C62" s="1"/>
      <c r="D62" s="10">
        <v>4548</v>
      </c>
      <c r="E62" s="8" t="s">
        <v>13</v>
      </c>
    </row>
    <row r="63" spans="1:5">
      <c r="A63" s="8" t="s">
        <v>129</v>
      </c>
      <c r="B63" s="1" t="s">
        <v>130</v>
      </c>
      <c r="C63" s="1"/>
      <c r="D63" s="10">
        <v>7846</v>
      </c>
      <c r="E63" s="8" t="s">
        <v>10</v>
      </c>
    </row>
    <row r="64" spans="1:5">
      <c r="A64" s="8" t="s">
        <v>131</v>
      </c>
      <c r="B64" s="1" t="s">
        <v>132</v>
      </c>
      <c r="C64" s="1"/>
      <c r="D64" s="10">
        <v>7573</v>
      </c>
      <c r="E64" s="8" t="s">
        <v>13</v>
      </c>
    </row>
    <row r="65" spans="1:5">
      <c r="A65" s="8" t="s">
        <v>133</v>
      </c>
      <c r="B65" s="1" t="s">
        <v>134</v>
      </c>
      <c r="C65" s="1"/>
      <c r="D65" s="10">
        <v>6785</v>
      </c>
      <c r="E65" s="8" t="s">
        <v>13</v>
      </c>
    </row>
    <row r="66" spans="1:5">
      <c r="A66" s="8" t="s">
        <v>135</v>
      </c>
      <c r="B66" s="1" t="s">
        <v>136</v>
      </c>
      <c r="C66" s="1" t="s">
        <v>217</v>
      </c>
      <c r="D66" s="10">
        <v>7699</v>
      </c>
      <c r="E66" s="8" t="s">
        <v>13</v>
      </c>
    </row>
    <row r="67" spans="1:5">
      <c r="A67" s="8" t="s">
        <v>137</v>
      </c>
      <c r="B67" s="1" t="s">
        <v>138</v>
      </c>
      <c r="C67" s="1"/>
      <c r="D67" s="10">
        <v>6281</v>
      </c>
      <c r="E67" s="8" t="s">
        <v>6</v>
      </c>
    </row>
    <row r="68" spans="1:5">
      <c r="A68" s="8" t="s">
        <v>139</v>
      </c>
      <c r="B68" s="1" t="s">
        <v>140</v>
      </c>
      <c r="C68" s="1"/>
      <c r="D68" s="10">
        <v>959</v>
      </c>
      <c r="E68" s="8" t="s">
        <v>13</v>
      </c>
    </row>
    <row r="69" spans="1:5">
      <c r="A69" s="8" t="s">
        <v>141</v>
      </c>
      <c r="B69" s="1" t="s">
        <v>142</v>
      </c>
      <c r="C69" s="1"/>
      <c r="D69" s="10">
        <v>9644</v>
      </c>
      <c r="E69" s="8" t="s">
        <v>13</v>
      </c>
    </row>
    <row r="70" spans="1:5">
      <c r="A70" s="8" t="s">
        <v>143</v>
      </c>
      <c r="B70" s="1" t="s">
        <v>144</v>
      </c>
      <c r="C70" s="1"/>
      <c r="D70" s="10">
        <v>5728</v>
      </c>
      <c r="E70" s="8" t="s">
        <v>6</v>
      </c>
    </row>
    <row r="71" spans="1:5">
      <c r="A71" s="8" t="s">
        <v>145</v>
      </c>
      <c r="B71" s="1" t="s">
        <v>146</v>
      </c>
      <c r="C71" s="1"/>
      <c r="D71" s="10">
        <v>9216</v>
      </c>
      <c r="E71" s="8" t="s">
        <v>13</v>
      </c>
    </row>
    <row r="72" spans="1:5">
      <c r="A72" s="8" t="s">
        <v>147</v>
      </c>
      <c r="B72" s="1" t="s">
        <v>148</v>
      </c>
      <c r="C72" s="1"/>
      <c r="D72" s="10">
        <v>2985</v>
      </c>
      <c r="E72" s="8" t="s">
        <v>13</v>
      </c>
    </row>
    <row r="73" spans="1:5">
      <c r="A73" s="8" t="s">
        <v>149</v>
      </c>
      <c r="B73" s="1" t="s">
        <v>150</v>
      </c>
      <c r="C73" s="1"/>
      <c r="D73" s="10">
        <v>8403</v>
      </c>
      <c r="E73" s="8" t="s">
        <v>10</v>
      </c>
    </row>
    <row r="74" spans="1:5">
      <c r="A74" s="8" t="s">
        <v>151</v>
      </c>
      <c r="B74" s="1" t="s">
        <v>152</v>
      </c>
      <c r="C74" s="1"/>
      <c r="D74" s="10">
        <v>8250</v>
      </c>
      <c r="E74" s="8" t="s">
        <v>13</v>
      </c>
    </row>
    <row r="75" spans="1:5">
      <c r="A75" s="8" t="s">
        <v>153</v>
      </c>
      <c r="B75" s="1" t="s">
        <v>154</v>
      </c>
      <c r="C75" s="1"/>
      <c r="D75" s="10">
        <v>3185</v>
      </c>
      <c r="E75" s="8" t="s">
        <v>6</v>
      </c>
    </row>
    <row r="76" spans="1:5">
      <c r="A76" s="8" t="s">
        <v>155</v>
      </c>
      <c r="B76" s="1" t="s">
        <v>156</v>
      </c>
      <c r="C76" s="1"/>
      <c r="D76" s="10">
        <v>5718</v>
      </c>
      <c r="E76" s="8" t="s">
        <v>10</v>
      </c>
    </row>
    <row r="77" spans="1:5">
      <c r="A77" s="8" t="s">
        <v>157</v>
      </c>
      <c r="B77" s="1" t="s">
        <v>158</v>
      </c>
      <c r="C77" s="1"/>
      <c r="D77" s="10">
        <v>4388</v>
      </c>
      <c r="E77" s="8" t="s">
        <v>6</v>
      </c>
    </row>
    <row r="78" spans="1:5">
      <c r="A78" s="8" t="s">
        <v>159</v>
      </c>
      <c r="B78" s="1" t="s">
        <v>160</v>
      </c>
      <c r="C78" s="1"/>
      <c r="D78" s="10">
        <v>7880</v>
      </c>
      <c r="E78" s="8" t="s">
        <v>6</v>
      </c>
    </row>
    <row r="79" spans="1:5">
      <c r="A79" s="8" t="s">
        <v>161</v>
      </c>
      <c r="B79" s="1" t="s">
        <v>162</v>
      </c>
      <c r="C79" s="1"/>
      <c r="D79" s="10">
        <v>304</v>
      </c>
      <c r="E79" s="8" t="s">
        <v>13</v>
      </c>
    </row>
    <row r="80" spans="1:5">
      <c r="A80" s="8" t="s">
        <v>163</v>
      </c>
      <c r="B80" s="1" t="s">
        <v>164</v>
      </c>
      <c r="C80" s="1"/>
      <c r="D80" s="10">
        <v>8521</v>
      </c>
      <c r="E80" s="8" t="s">
        <v>10</v>
      </c>
    </row>
    <row r="81" spans="1:5">
      <c r="A81" s="8" t="s">
        <v>165</v>
      </c>
      <c r="B81" s="1" t="s">
        <v>166</v>
      </c>
      <c r="C81" s="1"/>
      <c r="D81" s="10">
        <v>9004</v>
      </c>
      <c r="E81" s="8" t="s">
        <v>6</v>
      </c>
    </row>
    <row r="82" spans="1:5">
      <c r="A82" s="8" t="s">
        <v>167</v>
      </c>
      <c r="B82" s="1" t="s">
        <v>168</v>
      </c>
      <c r="C82" s="1"/>
      <c r="D82" s="10">
        <v>6818</v>
      </c>
      <c r="E82" s="8" t="s">
        <v>6</v>
      </c>
    </row>
    <row r="83" spans="1:5">
      <c r="A83" s="8" t="s">
        <v>169</v>
      </c>
      <c r="B83" s="1" t="s">
        <v>170</v>
      </c>
      <c r="C83" s="1"/>
      <c r="D83" s="10">
        <v>8253</v>
      </c>
      <c r="E83" s="8" t="s">
        <v>6</v>
      </c>
    </row>
    <row r="84" spans="1:5">
      <c r="A84" s="8" t="s">
        <v>171</v>
      </c>
      <c r="B84" s="1" t="s">
        <v>172</v>
      </c>
      <c r="C84" s="1"/>
      <c r="D84" s="10">
        <v>4525</v>
      </c>
      <c r="E84" s="8" t="s">
        <v>10</v>
      </c>
    </row>
    <row r="85" spans="1:5">
      <c r="A85" s="8" t="s">
        <v>173</v>
      </c>
      <c r="B85" s="1" t="s">
        <v>174</v>
      </c>
      <c r="C85" s="1"/>
      <c r="D85" s="10">
        <v>8932</v>
      </c>
      <c r="E85" s="8" t="s">
        <v>6</v>
      </c>
    </row>
    <row r="86" spans="1:5">
      <c r="A86" s="8" t="s">
        <v>175</v>
      </c>
      <c r="B86" s="1" t="s">
        <v>176</v>
      </c>
      <c r="C86" s="1"/>
      <c r="D86" s="10">
        <v>6255</v>
      </c>
      <c r="E86" s="8" t="s">
        <v>6</v>
      </c>
    </row>
    <row r="87" spans="1:5">
      <c r="A87" s="8" t="s">
        <v>177</v>
      </c>
      <c r="B87" s="1" t="s">
        <v>178</v>
      </c>
      <c r="C87" s="1"/>
      <c r="D87" s="10">
        <v>4078</v>
      </c>
      <c r="E87" s="8" t="s">
        <v>13</v>
      </c>
    </row>
    <row r="88" spans="1:5">
      <c r="A88" s="8" t="s">
        <v>179</v>
      </c>
      <c r="B88" s="1" t="s">
        <v>180</v>
      </c>
      <c r="C88" s="1"/>
      <c r="D88" s="10">
        <v>5986</v>
      </c>
      <c r="E88" s="8" t="s">
        <v>10</v>
      </c>
    </row>
    <row r="89" spans="1:5">
      <c r="A89" s="8" t="s">
        <v>181</v>
      </c>
      <c r="B89" s="1" t="s">
        <v>182</v>
      </c>
      <c r="C89" s="1"/>
      <c r="D89" s="10">
        <v>2976</v>
      </c>
      <c r="E89" s="8" t="s">
        <v>6</v>
      </c>
    </row>
    <row r="90" spans="1:5">
      <c r="A90" s="8" t="s">
        <v>183</v>
      </c>
      <c r="B90" s="1" t="s">
        <v>184</v>
      </c>
      <c r="C90" s="1"/>
      <c r="D90" s="10">
        <v>5519</v>
      </c>
      <c r="E90" s="8" t="s">
        <v>10</v>
      </c>
    </row>
    <row r="91" spans="1:5">
      <c r="A91" s="8" t="s">
        <v>185</v>
      </c>
      <c r="B91" s="1" t="s">
        <v>186</v>
      </c>
      <c r="C91" s="1"/>
      <c r="D91" s="10">
        <v>2780</v>
      </c>
      <c r="E91" s="8" t="s">
        <v>13</v>
      </c>
    </row>
    <row r="92" spans="1:5">
      <c r="A92" s="8" t="s">
        <v>187</v>
      </c>
      <c r="B92" s="1" t="s">
        <v>188</v>
      </c>
      <c r="C92" s="1"/>
      <c r="D92" s="10">
        <v>559</v>
      </c>
      <c r="E92" s="8" t="s">
        <v>13</v>
      </c>
    </row>
    <row r="93" spans="1:5">
      <c r="A93" s="8" t="s">
        <v>189</v>
      </c>
      <c r="B93" s="1" t="s">
        <v>190</v>
      </c>
      <c r="C93" s="1"/>
      <c r="D93" s="10">
        <v>610</v>
      </c>
      <c r="E93" s="8" t="s">
        <v>13</v>
      </c>
    </row>
    <row r="94" spans="1:5">
      <c r="A94" s="8" t="s">
        <v>191</v>
      </c>
      <c r="B94" s="1" t="s">
        <v>192</v>
      </c>
      <c r="C94" s="1"/>
      <c r="D94" s="10">
        <v>9775</v>
      </c>
      <c r="E94" s="8" t="s">
        <v>13</v>
      </c>
    </row>
    <row r="95" spans="1:5">
      <c r="A95" s="8" t="s">
        <v>193</v>
      </c>
      <c r="B95" s="1" t="s">
        <v>194</v>
      </c>
      <c r="C95" s="1"/>
      <c r="D95" s="10">
        <v>9280</v>
      </c>
      <c r="E95" s="8" t="s">
        <v>6</v>
      </c>
    </row>
    <row r="96" spans="1:5">
      <c r="A96" s="8" t="s">
        <v>195</v>
      </c>
      <c r="B96" s="1" t="s">
        <v>196</v>
      </c>
      <c r="C96" s="1" t="s">
        <v>218</v>
      </c>
      <c r="D96" s="10">
        <v>2868</v>
      </c>
      <c r="E96" s="8" t="s">
        <v>6</v>
      </c>
    </row>
    <row r="97" spans="1:5">
      <c r="A97" s="8" t="s">
        <v>197</v>
      </c>
      <c r="B97" s="1" t="s">
        <v>198</v>
      </c>
      <c r="C97" s="1"/>
      <c r="D97" s="10">
        <v>1401</v>
      </c>
      <c r="E97" s="8" t="s">
        <v>13</v>
      </c>
    </row>
    <row r="98" spans="1:5">
      <c r="A98" s="8" t="s">
        <v>199</v>
      </c>
      <c r="B98" s="1" t="s">
        <v>200</v>
      </c>
      <c r="C98" s="1"/>
      <c r="D98" s="10">
        <v>4498</v>
      </c>
      <c r="E98" s="8" t="s">
        <v>10</v>
      </c>
    </row>
    <row r="99" spans="1:5">
      <c r="A99" s="8" t="s">
        <v>201</v>
      </c>
      <c r="B99" s="1" t="s">
        <v>202</v>
      </c>
      <c r="C99" s="1"/>
      <c r="D99" s="10">
        <v>5409</v>
      </c>
      <c r="E99" s="8" t="s">
        <v>6</v>
      </c>
    </row>
    <row r="100" spans="1:5">
      <c r="A100" s="8" t="s">
        <v>203</v>
      </c>
      <c r="B100" s="1" t="s">
        <v>204</v>
      </c>
      <c r="C100" s="1" t="s">
        <v>219</v>
      </c>
      <c r="D100" s="10">
        <v>1099</v>
      </c>
      <c r="E100" s="8" t="s">
        <v>10</v>
      </c>
    </row>
    <row r="101" spans="1:5">
      <c r="A101" s="8" t="s">
        <v>205</v>
      </c>
      <c r="B101" s="1" t="s">
        <v>206</v>
      </c>
      <c r="C101" s="1" t="s">
        <v>220</v>
      </c>
      <c r="D101" s="10">
        <v>765</v>
      </c>
      <c r="E101" s="8" t="s">
        <v>10</v>
      </c>
    </row>
    <row r="102" spans="1:5">
      <c r="A102" s="8"/>
      <c r="B102" s="1"/>
      <c r="C102" s="1"/>
      <c r="D102" s="6"/>
      <c r="E102" s="8"/>
    </row>
    <row r="103" spans="1:5">
      <c r="A103" s="8"/>
      <c r="B103" s="1"/>
      <c r="C103" s="1"/>
      <c r="D103" s="6"/>
      <c r="E103" s="8"/>
    </row>
    <row r="104" spans="1:5">
      <c r="A104" s="8"/>
      <c r="B104" s="1"/>
      <c r="C104" s="1"/>
      <c r="D104" s="6"/>
      <c r="E104" s="8"/>
    </row>
    <row r="105" spans="1:5">
      <c r="A105" s="8"/>
      <c r="B105" s="1"/>
      <c r="C105" s="1"/>
      <c r="D105" s="6"/>
      <c r="E105" s="8"/>
    </row>
    <row r="106" spans="1:5">
      <c r="A106" s="8"/>
      <c r="B106" s="1"/>
      <c r="C106" s="1"/>
      <c r="D106" s="6"/>
      <c r="E106" s="8"/>
    </row>
    <row r="107" spans="1:5">
      <c r="A107" s="8"/>
      <c r="B107" s="1"/>
      <c r="C107" s="1"/>
      <c r="D107" s="6"/>
      <c r="E107" s="8"/>
    </row>
    <row r="108" spans="1:5">
      <c r="A108" s="8"/>
      <c r="B108" s="1"/>
      <c r="C108" s="1"/>
      <c r="D108" s="6"/>
      <c r="E108" s="8"/>
    </row>
    <row r="109" spans="1:5">
      <c r="A109" s="8"/>
      <c r="B109" s="1"/>
      <c r="C109" s="1"/>
      <c r="D109" s="6"/>
      <c r="E109" s="8"/>
    </row>
    <row r="110" spans="1:5">
      <c r="A110" s="8"/>
      <c r="B110" s="1"/>
      <c r="C110" s="1"/>
      <c r="D110" s="6"/>
      <c r="E110" s="8"/>
    </row>
    <row r="111" spans="1:5">
      <c r="A111" s="8"/>
      <c r="B111" s="1"/>
      <c r="C111" s="1"/>
      <c r="D111" s="6"/>
      <c r="E111" s="8"/>
    </row>
    <row r="112" spans="1:5">
      <c r="A112" s="8"/>
      <c r="B112" s="1"/>
      <c r="C112" s="1"/>
      <c r="D112" s="6"/>
      <c r="E112" s="8"/>
    </row>
    <row r="113" spans="1:5">
      <c r="A113" s="8"/>
      <c r="B113" s="1"/>
      <c r="C113" s="1"/>
      <c r="D113" s="6"/>
      <c r="E113" s="8"/>
    </row>
    <row r="114" spans="1:5">
      <c r="A114" s="8"/>
      <c r="B114" s="1"/>
      <c r="C114" s="1"/>
      <c r="D114" s="6"/>
      <c r="E114" s="8"/>
    </row>
    <row r="115" spans="1:5">
      <c r="A115" s="8"/>
      <c r="B115" s="1"/>
      <c r="C115" s="1"/>
      <c r="D115" s="6"/>
      <c r="E115" s="8"/>
    </row>
    <row r="116" spans="1:5">
      <c r="A116" s="8"/>
      <c r="B116" s="1"/>
      <c r="C116" s="1"/>
      <c r="D116" s="6"/>
      <c r="E116" s="8"/>
    </row>
    <row r="117" spans="1:5">
      <c r="A117" s="8"/>
      <c r="B117" s="1"/>
      <c r="C117" s="1"/>
      <c r="D117" s="6"/>
      <c r="E117" s="8"/>
    </row>
    <row r="118" spans="1:5">
      <c r="A118" s="8"/>
      <c r="B118" s="1"/>
      <c r="C118" s="1"/>
      <c r="D118" s="6"/>
      <c r="E118" s="8"/>
    </row>
    <row r="119" spans="1:5">
      <c r="A119" s="8"/>
      <c r="B119" s="1"/>
      <c r="C119" s="1"/>
      <c r="D119" s="6"/>
      <c r="E119" s="8"/>
    </row>
    <row r="120" spans="1:5">
      <c r="A120" s="8"/>
      <c r="B120" s="1"/>
      <c r="C120" s="1"/>
      <c r="D120" s="6"/>
      <c r="E120" s="8"/>
    </row>
    <row r="121" spans="1:5">
      <c r="A121" s="8"/>
      <c r="B121" s="1"/>
      <c r="C121" s="1"/>
      <c r="D121" s="6"/>
      <c r="E121" s="8"/>
    </row>
    <row r="122" spans="1:5">
      <c r="A122" s="8"/>
      <c r="B122" s="1"/>
      <c r="C122" s="1"/>
      <c r="D122" s="6"/>
      <c r="E122" s="8"/>
    </row>
    <row r="123" spans="1:5">
      <c r="A123" s="8"/>
      <c r="B123" s="1"/>
      <c r="C123" s="1"/>
      <c r="D123" s="6"/>
      <c r="E123" s="8"/>
    </row>
    <row r="124" spans="1:5">
      <c r="A124" s="8"/>
      <c r="B124" s="1"/>
      <c r="C124" s="1"/>
      <c r="D124" s="6"/>
      <c r="E124" s="8"/>
    </row>
    <row r="125" spans="1:5">
      <c r="A125" s="8"/>
      <c r="B125" s="1"/>
      <c r="C125" s="1"/>
      <c r="D125" s="6"/>
      <c r="E125" s="8"/>
    </row>
    <row r="126" spans="1:5">
      <c r="A126" s="8"/>
      <c r="B126" s="1"/>
      <c r="C126" s="1"/>
      <c r="D126" s="6"/>
      <c r="E126" s="8"/>
    </row>
    <row r="127" spans="1:5">
      <c r="A127" s="8"/>
      <c r="B127" s="1"/>
      <c r="C127" s="1"/>
      <c r="D127" s="6"/>
      <c r="E127" s="8"/>
    </row>
    <row r="128" spans="1:5">
      <c r="A128" s="8"/>
      <c r="B128" s="1"/>
      <c r="C128" s="1"/>
      <c r="D128" s="6"/>
      <c r="E128" s="8"/>
    </row>
    <row r="129" spans="1:5">
      <c r="A129" s="8"/>
      <c r="B129" s="1"/>
      <c r="C129" s="1"/>
      <c r="D129" s="6"/>
      <c r="E129" s="8"/>
    </row>
    <row r="130" spans="1:5">
      <c r="A130" s="8"/>
      <c r="B130" s="1"/>
      <c r="C130" s="1"/>
      <c r="D130" s="6"/>
      <c r="E130" s="8"/>
    </row>
    <row r="131" spans="1:5">
      <c r="A131" s="8"/>
      <c r="B131" s="1"/>
      <c r="C131" s="1"/>
      <c r="D131" s="6"/>
      <c r="E131" s="8"/>
    </row>
    <row r="132" spans="1:5">
      <c r="A132" s="8"/>
      <c r="B132" s="1"/>
      <c r="C132" s="1"/>
      <c r="D132" s="6"/>
      <c r="E132" s="8"/>
    </row>
    <row r="133" spans="1:5">
      <c r="A133" s="8"/>
      <c r="B133" s="1"/>
      <c r="C133" s="1"/>
      <c r="D133" s="6"/>
      <c r="E133" s="8"/>
    </row>
    <row r="134" spans="1:5">
      <c r="A134" s="8"/>
      <c r="B134" s="1"/>
      <c r="C134" s="1"/>
      <c r="D134" s="6"/>
      <c r="E134" s="8"/>
    </row>
    <row r="135" spans="1:5">
      <c r="A135" s="8"/>
      <c r="B135" s="1"/>
      <c r="C135" s="1"/>
      <c r="D135" s="6"/>
      <c r="E135" s="8"/>
    </row>
    <row r="136" spans="1:5">
      <c r="A136" s="8"/>
      <c r="B136" s="1"/>
      <c r="C136" s="1"/>
      <c r="D136" s="6"/>
      <c r="E136" s="8"/>
    </row>
    <row r="137" spans="1:5">
      <c r="A137" s="8"/>
      <c r="B137" s="1"/>
      <c r="C137" s="1"/>
      <c r="D137" s="6"/>
      <c r="E137" s="8"/>
    </row>
    <row r="138" spans="1:5">
      <c r="A138" s="8"/>
      <c r="B138" s="1"/>
      <c r="C138" s="1"/>
      <c r="D138" s="6"/>
      <c r="E138" s="8"/>
    </row>
    <row r="139" spans="1:5">
      <c r="A139" s="8"/>
      <c r="B139" s="1"/>
      <c r="C139" s="1"/>
      <c r="D139" s="6"/>
      <c r="E139" s="8"/>
    </row>
    <row r="140" spans="1:5">
      <c r="A140" s="8"/>
      <c r="B140" s="1"/>
      <c r="C140" s="1"/>
      <c r="D140" s="6"/>
      <c r="E140" s="8"/>
    </row>
    <row r="141" spans="1:5">
      <c r="A141" s="8"/>
      <c r="B141" s="1"/>
      <c r="C141" s="1"/>
      <c r="D141" s="6"/>
      <c r="E141" s="8"/>
    </row>
    <row r="142" spans="1:5">
      <c r="A142" s="8"/>
      <c r="B142" s="1"/>
      <c r="C142" s="1"/>
      <c r="D142" s="6"/>
      <c r="E142" s="8"/>
    </row>
    <row r="143" spans="1:5">
      <c r="A143" s="8"/>
      <c r="B143" s="1"/>
      <c r="C143" s="1"/>
      <c r="D143" s="6"/>
      <c r="E143" s="8"/>
    </row>
    <row r="144" spans="1:5">
      <c r="A144" s="8"/>
      <c r="B144" s="1"/>
      <c r="C144" s="1"/>
      <c r="D144" s="6"/>
      <c r="E144" s="8"/>
    </row>
    <row r="145" spans="1:5">
      <c r="A145" s="8"/>
      <c r="B145" s="1"/>
      <c r="C145" s="1"/>
      <c r="D145" s="6"/>
      <c r="E145" s="8"/>
    </row>
    <row r="146" spans="1:5">
      <c r="A146" s="8"/>
      <c r="B146" s="1"/>
      <c r="C146" s="1"/>
      <c r="D146" s="6"/>
      <c r="E146" s="8"/>
    </row>
    <row r="147" spans="1:5">
      <c r="A147" s="8"/>
      <c r="B147" s="1"/>
      <c r="C147" s="1"/>
      <c r="D147" s="6"/>
      <c r="E147" s="8"/>
    </row>
    <row r="148" spans="1:5">
      <c r="A148" s="8"/>
      <c r="B148" s="1"/>
      <c r="C148" s="1"/>
      <c r="D148" s="6"/>
      <c r="E148" s="8"/>
    </row>
    <row r="149" spans="1:5">
      <c r="A149" s="8"/>
      <c r="B149" s="1"/>
      <c r="C149" s="1"/>
      <c r="D149" s="6"/>
      <c r="E149" s="8"/>
    </row>
    <row r="150" spans="1:5">
      <c r="A150" s="8"/>
      <c r="B150" s="1"/>
      <c r="C150" s="1"/>
      <c r="D150" s="6"/>
      <c r="E150" s="8"/>
    </row>
    <row r="151" spans="1:5">
      <c r="A151" s="8"/>
      <c r="B151" s="1"/>
      <c r="C151" s="1"/>
      <c r="D151" s="6"/>
      <c r="E151" s="8"/>
    </row>
    <row r="152" spans="1:5">
      <c r="A152" s="8"/>
      <c r="B152" s="1"/>
      <c r="C152" s="1"/>
      <c r="D152" s="6"/>
      <c r="E152" s="8"/>
    </row>
    <row r="153" spans="1:5">
      <c r="A153" s="8"/>
      <c r="B153" s="1"/>
      <c r="C153" s="1"/>
      <c r="D153" s="6"/>
      <c r="E153" s="8"/>
    </row>
    <row r="154" spans="1:5">
      <c r="A154" s="8"/>
      <c r="B154" s="1"/>
      <c r="C154" s="1"/>
      <c r="D154" s="6"/>
      <c r="E154" s="8"/>
    </row>
    <row r="155" spans="1:5">
      <c r="A155" s="8"/>
      <c r="B155" s="1"/>
      <c r="C155" s="1"/>
      <c r="D155" s="6"/>
      <c r="E155" s="8"/>
    </row>
    <row r="156" spans="1:5">
      <c r="A156" s="8"/>
      <c r="B156" s="1"/>
      <c r="C156" s="1"/>
      <c r="D156" s="6"/>
      <c r="E156" s="8"/>
    </row>
    <row r="157" spans="1:5">
      <c r="A157" s="8"/>
      <c r="B157" s="1"/>
      <c r="C157" s="1"/>
      <c r="D157" s="6"/>
      <c r="E157" s="8"/>
    </row>
    <row r="158" spans="1:5">
      <c r="A158" s="8"/>
      <c r="B158" s="1"/>
      <c r="C158" s="1"/>
      <c r="D158" s="6"/>
      <c r="E158" s="8"/>
    </row>
    <row r="159" spans="1:5">
      <c r="A159" s="8"/>
      <c r="B159" s="1"/>
      <c r="C159" s="1"/>
      <c r="D159" s="6"/>
      <c r="E159" s="8"/>
    </row>
    <row r="160" spans="1:5">
      <c r="A160" s="8"/>
      <c r="B160" s="1"/>
      <c r="C160" s="1"/>
      <c r="D160" s="6"/>
      <c r="E160" s="8"/>
    </row>
    <row r="161" spans="1:5">
      <c r="A161" s="8"/>
      <c r="B161" s="1"/>
      <c r="C161" s="1"/>
      <c r="D161" s="6"/>
      <c r="E161" s="8"/>
    </row>
    <row r="162" spans="1:5">
      <c r="A162" s="8"/>
      <c r="B162" s="1"/>
      <c r="C162" s="1"/>
      <c r="D162" s="6"/>
      <c r="E162" s="8"/>
    </row>
    <row r="163" spans="1:5">
      <c r="A163" s="8"/>
      <c r="B163" s="1"/>
      <c r="C163" s="1"/>
      <c r="D163" s="6"/>
      <c r="E163" s="8"/>
    </row>
    <row r="164" spans="1:5">
      <c r="A164" s="8"/>
      <c r="B164" s="1"/>
      <c r="C164" s="1"/>
      <c r="D164" s="6"/>
      <c r="E164" s="8"/>
    </row>
    <row r="165" spans="1:5">
      <c r="A165" s="8"/>
      <c r="B165" s="1"/>
      <c r="C165" s="1"/>
      <c r="D165" s="6"/>
      <c r="E165" s="8"/>
    </row>
    <row r="166" spans="1:5">
      <c r="A166" s="8"/>
      <c r="B166" s="1"/>
      <c r="C166" s="1"/>
      <c r="D166" s="6"/>
      <c r="E166" s="8"/>
    </row>
    <row r="167" spans="1:5">
      <c r="A167" s="8"/>
      <c r="B167" s="1"/>
      <c r="C167" s="1"/>
      <c r="D167" s="6"/>
      <c r="E167" s="8"/>
    </row>
    <row r="168" spans="1:5">
      <c r="A168" s="8"/>
      <c r="B168" s="1"/>
      <c r="C168" s="1"/>
      <c r="D168" s="6"/>
      <c r="E168" s="8"/>
    </row>
    <row r="169" spans="1:5">
      <c r="A169" s="8"/>
      <c r="B169" s="1"/>
      <c r="C169" s="1"/>
      <c r="D169" s="6"/>
      <c r="E169" s="8"/>
    </row>
    <row r="170" spans="1:5">
      <c r="A170" s="8"/>
      <c r="B170" s="1"/>
      <c r="C170" s="1"/>
      <c r="D170" s="6"/>
      <c r="E170" s="8"/>
    </row>
    <row r="171" spans="1:5">
      <c r="A171" s="8"/>
      <c r="B171" s="1"/>
      <c r="C171" s="1"/>
      <c r="D171" s="6"/>
      <c r="E171" s="8"/>
    </row>
    <row r="172" spans="1:5">
      <c r="A172" s="8"/>
      <c r="B172" s="1"/>
      <c r="C172" s="1"/>
      <c r="D172" s="6"/>
      <c r="E172" s="8"/>
    </row>
    <row r="173" spans="1:5">
      <c r="A173" s="8"/>
      <c r="B173" s="1"/>
      <c r="C173" s="1"/>
      <c r="D173" s="6"/>
      <c r="E173" s="8"/>
    </row>
    <row r="174" spans="1:5">
      <c r="A174" s="8"/>
      <c r="B174" s="1"/>
      <c r="C174" s="1"/>
      <c r="D174" s="6"/>
      <c r="E174" s="8"/>
    </row>
    <row r="175" spans="1:5">
      <c r="A175" s="8"/>
      <c r="B175" s="1"/>
      <c r="C175" s="1"/>
      <c r="D175" s="6"/>
      <c r="E175" s="8"/>
    </row>
    <row r="176" spans="1:5">
      <c r="A176" s="8"/>
      <c r="B176" s="1"/>
      <c r="C176" s="1"/>
      <c r="D176" s="6"/>
      <c r="E176" s="8"/>
    </row>
    <row r="177" spans="1:5">
      <c r="A177" s="8"/>
      <c r="B177" s="1"/>
      <c r="C177" s="1"/>
      <c r="D177" s="6"/>
      <c r="E177" s="8"/>
    </row>
    <row r="178" spans="1:5">
      <c r="A178" s="8"/>
      <c r="B178" s="1"/>
      <c r="C178" s="1"/>
      <c r="D178" s="6"/>
      <c r="E178" s="8"/>
    </row>
    <row r="179" spans="1:5">
      <c r="A179" s="8"/>
      <c r="B179" s="1"/>
      <c r="C179" s="1"/>
      <c r="D179" s="6"/>
      <c r="E179" s="8"/>
    </row>
    <row r="180" spans="1:5">
      <c r="A180" s="8"/>
      <c r="B180" s="1"/>
      <c r="C180" s="1"/>
      <c r="D180" s="6"/>
      <c r="E180" s="8"/>
    </row>
    <row r="181" spans="1:5">
      <c r="A181" s="8"/>
      <c r="B181" s="1"/>
      <c r="C181" s="1"/>
      <c r="D181" s="6"/>
      <c r="E181" s="8"/>
    </row>
    <row r="182" spans="1:5">
      <c r="A182" s="8"/>
      <c r="B182" s="1"/>
      <c r="C182" s="1"/>
      <c r="D182" s="6"/>
      <c r="E182" s="8"/>
    </row>
    <row r="183" spans="1:5">
      <c r="A183" s="8"/>
      <c r="B183" s="1"/>
      <c r="C183" s="1"/>
      <c r="D183" s="6"/>
      <c r="E183" s="8"/>
    </row>
    <row r="184" spans="1:5">
      <c r="A184" s="8"/>
      <c r="B184" s="1"/>
      <c r="C184" s="1"/>
      <c r="D184" s="6"/>
      <c r="E184" s="8"/>
    </row>
    <row r="185" spans="1:5">
      <c r="A185" s="8"/>
      <c r="B185" s="1"/>
      <c r="C185" s="1"/>
      <c r="D185" s="6"/>
      <c r="E185" s="8"/>
    </row>
    <row r="186" spans="1:5">
      <c r="A186" s="8"/>
      <c r="B186" s="1"/>
      <c r="C186" s="1"/>
      <c r="D186" s="6"/>
      <c r="E186" s="8"/>
    </row>
    <row r="187" spans="1:5">
      <c r="A187" s="8"/>
      <c r="B187" s="1"/>
      <c r="C187" s="1"/>
      <c r="D187" s="6"/>
      <c r="E187" s="8"/>
    </row>
    <row r="188" spans="1:5">
      <c r="A188" s="8"/>
      <c r="B188" s="1"/>
      <c r="C188" s="1"/>
      <c r="D188" s="6"/>
      <c r="E188" s="8"/>
    </row>
    <row r="189" spans="1:5">
      <c r="A189" s="8"/>
      <c r="B189" s="1"/>
      <c r="C189" s="1"/>
      <c r="D189" s="6"/>
      <c r="E189" s="8"/>
    </row>
    <row r="190" spans="1:5">
      <c r="A190" s="8"/>
      <c r="B190" s="1"/>
      <c r="C190" s="1"/>
      <c r="D190" s="6"/>
      <c r="E190" s="8"/>
    </row>
    <row r="191" spans="1:5">
      <c r="A191" s="8"/>
      <c r="B191" s="1"/>
      <c r="C191" s="1"/>
      <c r="D191" s="6"/>
      <c r="E191" s="8"/>
    </row>
    <row r="192" spans="1:5">
      <c r="A192" s="8"/>
      <c r="B192" s="1"/>
      <c r="C192" s="1"/>
      <c r="D192" s="6"/>
      <c r="E192" s="8"/>
    </row>
    <row r="193" spans="1:5">
      <c r="A193" s="8"/>
      <c r="B193" s="1"/>
      <c r="C193" s="1"/>
      <c r="D193" s="6"/>
      <c r="E193" s="8"/>
    </row>
    <row r="194" spans="1:5">
      <c r="A194" s="8"/>
      <c r="B194" s="1"/>
      <c r="C194" s="1"/>
      <c r="D194" s="6"/>
      <c r="E194" s="8"/>
    </row>
    <row r="195" spans="1:5">
      <c r="A195" s="8"/>
      <c r="B195" s="1"/>
      <c r="C195" s="1"/>
      <c r="D195" s="6"/>
      <c r="E195" s="8"/>
    </row>
    <row r="196" spans="1:5">
      <c r="A196" s="8"/>
      <c r="B196" s="1"/>
      <c r="C196" s="1"/>
      <c r="D196" s="6"/>
      <c r="E196" s="8"/>
    </row>
    <row r="197" spans="1:5">
      <c r="A197" s="8"/>
      <c r="B197" s="1"/>
      <c r="C197" s="1"/>
      <c r="D197" s="6"/>
      <c r="E197" s="8"/>
    </row>
    <row r="198" spans="1:5">
      <c r="A198" s="8"/>
      <c r="B198" s="1"/>
      <c r="C198" s="1"/>
      <c r="D198" s="6"/>
      <c r="E198" s="8"/>
    </row>
    <row r="199" spans="1:5">
      <c r="A199" s="8"/>
      <c r="B199" s="1"/>
      <c r="C199" s="1"/>
      <c r="D199" s="6"/>
      <c r="E199" s="8"/>
    </row>
    <row r="200" spans="1:5">
      <c r="A200" s="8"/>
      <c r="B200" s="1"/>
      <c r="C200" s="1"/>
      <c r="D200" s="6"/>
      <c r="E200" s="8"/>
    </row>
    <row r="201" spans="1:5">
      <c r="A201" s="8"/>
      <c r="B201" s="1"/>
      <c r="C201" s="1"/>
      <c r="D201" s="6"/>
      <c r="E201" s="8"/>
    </row>
    <row r="202" spans="1:5">
      <c r="A202" s="8"/>
      <c r="B202" s="1"/>
      <c r="C202" s="1"/>
      <c r="D202" s="6"/>
      <c r="E202" s="8"/>
    </row>
    <row r="203" spans="1:5">
      <c r="A203" s="8"/>
      <c r="B203" s="1"/>
      <c r="C203" s="1"/>
      <c r="D203" s="6"/>
      <c r="E203" s="8"/>
    </row>
    <row r="204" spans="1:5">
      <c r="A204" s="8"/>
      <c r="B204" s="1"/>
      <c r="C204" s="1"/>
      <c r="D204" s="6"/>
      <c r="E204" s="8"/>
    </row>
    <row r="205" spans="1:5">
      <c r="A205" s="8"/>
      <c r="B205" s="1"/>
      <c r="C205" s="1"/>
      <c r="D205" s="6"/>
      <c r="E205" s="8"/>
    </row>
    <row r="206" spans="1:5">
      <c r="A206" s="8"/>
      <c r="B206" s="1"/>
      <c r="C206" s="1"/>
      <c r="D206" s="6"/>
      <c r="E206" s="8"/>
    </row>
    <row r="207" spans="1:5">
      <c r="A207" s="8"/>
      <c r="B207" s="1"/>
      <c r="C207" s="1"/>
      <c r="D207" s="6"/>
      <c r="E207" s="8"/>
    </row>
    <row r="208" spans="1:5">
      <c r="A208" s="8"/>
      <c r="B208" s="1"/>
      <c r="C208" s="1"/>
      <c r="D208" s="6"/>
      <c r="E208" s="8"/>
    </row>
    <row r="209" spans="1:5">
      <c r="A209" s="8"/>
      <c r="B209" s="1"/>
      <c r="C209" s="1"/>
      <c r="D209" s="6"/>
      <c r="E209" s="8"/>
    </row>
    <row r="210" spans="1:5">
      <c r="A210" s="8"/>
      <c r="B210" s="1"/>
      <c r="C210" s="1"/>
      <c r="D210" s="6"/>
      <c r="E210" s="8"/>
    </row>
    <row r="211" spans="1:5">
      <c r="A211" s="8"/>
      <c r="B211" s="1"/>
      <c r="C211" s="1"/>
      <c r="D211" s="6"/>
      <c r="E211" s="8"/>
    </row>
    <row r="212" spans="1:5">
      <c r="A212" s="8"/>
      <c r="B212" s="1"/>
      <c r="C212" s="1"/>
      <c r="D212" s="6"/>
      <c r="E212" s="8"/>
    </row>
    <row r="213" spans="1:5">
      <c r="A213" s="8"/>
      <c r="B213" s="1"/>
      <c r="C213" s="1"/>
      <c r="D213" s="6"/>
      <c r="E213" s="8"/>
    </row>
    <row r="214" spans="1:5">
      <c r="A214" s="8"/>
      <c r="B214" s="1"/>
      <c r="C214" s="1"/>
      <c r="D214" s="6"/>
      <c r="E214" s="8"/>
    </row>
    <row r="215" spans="1:5">
      <c r="A215" s="8"/>
      <c r="B215" s="1"/>
      <c r="C215" s="1"/>
      <c r="D215" s="6"/>
      <c r="E215" s="8"/>
    </row>
    <row r="216" spans="1:5">
      <c r="A216" s="8"/>
      <c r="B216" s="1"/>
      <c r="C216" s="1"/>
      <c r="D216" s="6"/>
      <c r="E216" s="8"/>
    </row>
    <row r="217" spans="1:5">
      <c r="A217" s="8"/>
      <c r="B217" s="1"/>
      <c r="C217" s="1"/>
      <c r="D217" s="6"/>
      <c r="E217" s="8"/>
    </row>
    <row r="218" spans="1:5">
      <c r="A218" s="8"/>
      <c r="B218" s="1"/>
      <c r="C218" s="1"/>
      <c r="D218" s="6"/>
      <c r="E218" s="8"/>
    </row>
    <row r="219" spans="1:5">
      <c r="A219" s="8"/>
      <c r="B219" s="1"/>
      <c r="C219" s="1"/>
      <c r="D219" s="6"/>
      <c r="E219" s="8"/>
    </row>
    <row r="220" spans="1:5">
      <c r="A220" s="8"/>
      <c r="B220" s="1"/>
      <c r="C220" s="1"/>
      <c r="D220" s="6"/>
      <c r="E220" s="8"/>
    </row>
    <row r="221" spans="1:5">
      <c r="A221" s="8"/>
      <c r="B221" s="1"/>
      <c r="C221" s="1"/>
      <c r="D221" s="6"/>
      <c r="E221" s="8"/>
    </row>
    <row r="222" spans="1:5">
      <c r="A222" s="8"/>
      <c r="B222" s="1"/>
      <c r="C222" s="1"/>
      <c r="D222" s="6"/>
      <c r="E222" s="8"/>
    </row>
    <row r="223" spans="1:5">
      <c r="A223" s="8"/>
      <c r="B223" s="1"/>
      <c r="C223" s="1"/>
      <c r="D223" s="6"/>
      <c r="E223" s="8"/>
    </row>
    <row r="224" spans="1:5">
      <c r="A224" s="8"/>
      <c r="B224" s="1"/>
      <c r="C224" s="1"/>
      <c r="D224" s="6"/>
      <c r="E224" s="8"/>
    </row>
    <row r="225" spans="1:5">
      <c r="A225" s="8"/>
      <c r="B225" s="1"/>
      <c r="C225" s="1"/>
      <c r="D225" s="6"/>
      <c r="E225" s="8"/>
    </row>
    <row r="226" spans="1:5">
      <c r="A226" s="8"/>
      <c r="B226" s="1"/>
      <c r="C226" s="1"/>
      <c r="D226" s="6"/>
      <c r="E226" s="8"/>
    </row>
    <row r="227" spans="1:5">
      <c r="A227" s="8"/>
      <c r="B227" s="1"/>
      <c r="C227" s="1"/>
      <c r="D227" s="6"/>
      <c r="E227" s="8"/>
    </row>
    <row r="228" spans="1:5">
      <c r="A228" s="8"/>
      <c r="B228" s="1"/>
      <c r="C228" s="1"/>
      <c r="D228" s="6"/>
      <c r="E228" s="8"/>
    </row>
    <row r="229" spans="1:5">
      <c r="A229" s="8"/>
      <c r="B229" s="1"/>
      <c r="C229" s="1"/>
      <c r="D229" s="6"/>
      <c r="E229" s="8"/>
    </row>
    <row r="230" spans="1:5">
      <c r="A230" s="8"/>
      <c r="B230" s="1"/>
      <c r="C230" s="1"/>
      <c r="D230" s="6"/>
      <c r="E230" s="8"/>
    </row>
    <row r="231" spans="1:5">
      <c r="A231" s="8"/>
      <c r="B231" s="1"/>
      <c r="C231" s="1"/>
      <c r="D231" s="6"/>
      <c r="E231" s="8"/>
    </row>
    <row r="232" spans="1:5">
      <c r="A232" s="8"/>
      <c r="B232" s="1"/>
      <c r="C232" s="1"/>
      <c r="D232" s="6"/>
      <c r="E232" s="8"/>
    </row>
    <row r="233" spans="1:5">
      <c r="A233" s="8"/>
      <c r="B233" s="1"/>
      <c r="C233" s="1"/>
      <c r="D233" s="6"/>
      <c r="E233" s="8"/>
    </row>
    <row r="234" spans="1:5">
      <c r="A234" s="8"/>
      <c r="B234" s="1"/>
      <c r="C234" s="1"/>
      <c r="D234" s="6"/>
      <c r="E234" s="8"/>
    </row>
    <row r="235" spans="1:5">
      <c r="A235" s="8"/>
      <c r="B235" s="1"/>
      <c r="C235" s="1"/>
      <c r="D235" s="6"/>
      <c r="E235" s="8"/>
    </row>
    <row r="236" spans="1:5">
      <c r="A236" s="8"/>
      <c r="B236" s="1"/>
      <c r="C236" s="1"/>
      <c r="D236" s="6"/>
      <c r="E236" s="8"/>
    </row>
    <row r="237" spans="1:5">
      <c r="A237" s="8"/>
      <c r="B237" s="1"/>
      <c r="C237" s="1"/>
      <c r="D237" s="6"/>
      <c r="E237" s="8"/>
    </row>
    <row r="238" spans="1:5">
      <c r="A238" s="8"/>
      <c r="B238" s="1"/>
      <c r="C238" s="1"/>
      <c r="D238" s="6"/>
      <c r="E238" s="8"/>
    </row>
    <row r="239" spans="1:5">
      <c r="A239" s="8"/>
      <c r="B239" s="1"/>
      <c r="C239" s="1"/>
      <c r="D239" s="6"/>
      <c r="E239" s="8"/>
    </row>
    <row r="240" spans="1:5">
      <c r="A240" s="8"/>
      <c r="B240" s="1"/>
      <c r="C240" s="1"/>
      <c r="D240" s="6"/>
      <c r="E240" s="8"/>
    </row>
    <row r="241" spans="1:5">
      <c r="A241" s="8"/>
      <c r="B241" s="1"/>
      <c r="C241" s="1"/>
      <c r="D241" s="6"/>
      <c r="E241" s="8"/>
    </row>
    <row r="242" spans="1:5">
      <c r="A242" s="8"/>
      <c r="B242" s="1"/>
      <c r="C242" s="1"/>
      <c r="D242" s="6"/>
      <c r="E242" s="8"/>
    </row>
    <row r="243" spans="1:5">
      <c r="A243" s="8"/>
      <c r="B243" s="1"/>
      <c r="C243" s="1"/>
      <c r="D243" s="6"/>
      <c r="E243" s="8"/>
    </row>
    <row r="244" spans="1:5">
      <c r="A244" s="8"/>
      <c r="B244" s="1"/>
      <c r="C244" s="1"/>
      <c r="D244" s="6"/>
      <c r="E244" s="8"/>
    </row>
    <row r="245" spans="1:5">
      <c r="A245" s="8"/>
      <c r="B245" s="1"/>
      <c r="C245" s="1"/>
      <c r="D245" s="6"/>
      <c r="E245" s="8"/>
    </row>
    <row r="246" spans="1:5">
      <c r="A246" s="8"/>
      <c r="B246" s="1"/>
      <c r="C246" s="1"/>
      <c r="D246" s="6"/>
      <c r="E246" s="8"/>
    </row>
    <row r="247" spans="1:5">
      <c r="A247" s="8"/>
      <c r="B247" s="1"/>
      <c r="C247" s="1"/>
      <c r="D247" s="6"/>
      <c r="E247" s="8"/>
    </row>
    <row r="248" spans="1:5">
      <c r="A248" s="8"/>
      <c r="B248" s="1"/>
      <c r="C248" s="1"/>
      <c r="D248" s="6"/>
      <c r="E248" s="8"/>
    </row>
    <row r="249" spans="1:5">
      <c r="A249" s="8"/>
      <c r="B249" s="1"/>
      <c r="C249" s="1"/>
      <c r="D249" s="6"/>
      <c r="E249" s="8"/>
    </row>
    <row r="250" spans="1:5">
      <c r="A250" s="8"/>
      <c r="B250" s="1"/>
      <c r="C250" s="1"/>
      <c r="D250" s="6"/>
      <c r="E250" s="8"/>
    </row>
    <row r="251" spans="1:5">
      <c r="A251" s="8"/>
      <c r="B251" s="1"/>
      <c r="C251" s="1"/>
      <c r="D251" s="6"/>
      <c r="E251" s="8"/>
    </row>
    <row r="252" spans="1:5">
      <c r="A252" s="8"/>
      <c r="B252" s="1"/>
      <c r="C252" s="1"/>
      <c r="D252" s="6"/>
      <c r="E252" s="8"/>
    </row>
    <row r="253" spans="1:5">
      <c r="A253" s="8"/>
      <c r="B253" s="1"/>
      <c r="C253" s="1"/>
      <c r="D253" s="6"/>
      <c r="E253" s="8"/>
    </row>
    <row r="254" spans="1:5">
      <c r="A254" s="8"/>
      <c r="B254" s="1"/>
      <c r="C254" s="1"/>
      <c r="D254" s="6"/>
      <c r="E254" s="8"/>
    </row>
    <row r="255" spans="1:5">
      <c r="A255" s="8"/>
      <c r="B255" s="1"/>
      <c r="C255" s="1"/>
      <c r="D255" s="6"/>
      <c r="E255" s="8"/>
    </row>
    <row r="256" spans="1:5">
      <c r="A256" s="8"/>
      <c r="B256" s="1"/>
      <c r="C256" s="1"/>
      <c r="D256" s="6"/>
      <c r="E256" s="8"/>
    </row>
    <row r="257" spans="1:5">
      <c r="A257" s="8"/>
      <c r="B257" s="1"/>
      <c r="C257" s="1"/>
      <c r="D257" s="6"/>
      <c r="E257" s="8"/>
    </row>
    <row r="258" spans="1:5">
      <c r="A258" s="8"/>
      <c r="B258" s="1"/>
      <c r="C258" s="1"/>
      <c r="D258" s="6"/>
      <c r="E258" s="8"/>
    </row>
    <row r="259" spans="1:5">
      <c r="A259" s="8"/>
      <c r="B259" s="1"/>
      <c r="C259" s="1"/>
      <c r="D259" s="6"/>
      <c r="E259" s="8"/>
    </row>
    <row r="260" spans="1:5">
      <c r="A260" s="8"/>
      <c r="B260" s="1"/>
      <c r="C260" s="1"/>
      <c r="D260" s="6"/>
      <c r="E260" s="8"/>
    </row>
    <row r="261" spans="1:5">
      <c r="A261" s="8"/>
      <c r="B261" s="8"/>
      <c r="C261" s="8"/>
      <c r="D261" s="6"/>
      <c r="E261" s="8"/>
    </row>
    <row r="262" spans="1:5">
      <c r="A262" s="8"/>
      <c r="B262" s="8"/>
      <c r="C262" s="8"/>
      <c r="D262" s="6"/>
      <c r="E262" s="8"/>
    </row>
    <row r="263" spans="1:5">
      <c r="A263" s="8"/>
      <c r="B263" s="8"/>
      <c r="C263" s="8"/>
      <c r="D263" s="6"/>
      <c r="E263" s="8"/>
    </row>
    <row r="264" spans="1:5">
      <c r="A264" s="8"/>
      <c r="B264" s="8"/>
      <c r="C264" s="8"/>
      <c r="D264" s="6"/>
      <c r="E264" s="8"/>
    </row>
    <row r="265" spans="1:5">
      <c r="A265" s="8"/>
      <c r="B265" s="8"/>
      <c r="C265" s="8"/>
      <c r="D265" s="6"/>
      <c r="E265" s="8"/>
    </row>
    <row r="266" spans="1:5">
      <c r="A266" s="8"/>
      <c r="B266" s="8"/>
      <c r="C266" s="8"/>
      <c r="D266" s="6"/>
      <c r="E266" s="8"/>
    </row>
    <row r="267" spans="1:5">
      <c r="A267" s="8"/>
      <c r="B267" s="8"/>
      <c r="C267" s="8"/>
      <c r="D267" s="6"/>
      <c r="E267" s="8"/>
    </row>
    <row r="268" spans="1:5">
      <c r="A268" s="8"/>
      <c r="B268" s="8"/>
      <c r="C268" s="8"/>
      <c r="D268" s="6"/>
      <c r="E268" s="8"/>
    </row>
    <row r="269" spans="1:5">
      <c r="A269" s="8"/>
      <c r="B269" s="8"/>
      <c r="C269" s="8"/>
      <c r="D269" s="6"/>
      <c r="E269" s="8"/>
    </row>
    <row r="270" spans="1:5">
      <c r="A270" s="8"/>
      <c r="B270" s="8"/>
      <c r="C270" s="8"/>
      <c r="D270" s="6"/>
      <c r="E270" s="8"/>
    </row>
    <row r="271" spans="1:5">
      <c r="A271" s="8"/>
      <c r="B271" s="8"/>
      <c r="C271" s="8"/>
      <c r="D271" s="6"/>
      <c r="E271" s="8"/>
    </row>
    <row r="272" spans="1:5">
      <c r="A272" s="8"/>
      <c r="B272" s="8"/>
      <c r="C272" s="8"/>
      <c r="D272" s="6"/>
      <c r="E272" s="8"/>
    </row>
    <row r="273" spans="1:5">
      <c r="A273" s="8"/>
      <c r="B273" s="8"/>
      <c r="C273" s="8"/>
      <c r="D273" s="6"/>
      <c r="E273" s="8"/>
    </row>
    <row r="274" spans="1:5">
      <c r="A274" s="8"/>
      <c r="B274" s="8"/>
      <c r="C274" s="8"/>
      <c r="D274" s="6"/>
      <c r="E274" s="8"/>
    </row>
    <row r="275" spans="1:5">
      <c r="A275" s="8"/>
      <c r="B275" s="8"/>
      <c r="C275" s="8"/>
      <c r="D275" s="6"/>
      <c r="E275" s="8"/>
    </row>
    <row r="276" spans="1:5">
      <c r="A276" s="8"/>
      <c r="B276" s="8"/>
      <c r="C276" s="8"/>
      <c r="D276" s="6"/>
      <c r="E276" s="8"/>
    </row>
    <row r="277" spans="1:5">
      <c r="A277" s="8"/>
      <c r="B277" s="8"/>
      <c r="C277" s="8"/>
      <c r="D277" s="6"/>
      <c r="E277" s="8"/>
    </row>
    <row r="278" spans="1:5">
      <c r="A278" s="8"/>
      <c r="B278" s="8"/>
      <c r="C278" s="8"/>
      <c r="D278" s="6"/>
      <c r="E278" s="8"/>
    </row>
    <row r="279" spans="1:5">
      <c r="A279" s="8"/>
      <c r="B279" s="8"/>
      <c r="C279" s="8"/>
      <c r="D279" s="6"/>
      <c r="E279" s="8"/>
    </row>
    <row r="280" spans="1:5">
      <c r="A280" s="8"/>
      <c r="B280" s="8"/>
      <c r="C280" s="8"/>
      <c r="D280" s="6"/>
      <c r="E280" s="8"/>
    </row>
    <row r="281" spans="1:5">
      <c r="A281" s="8"/>
      <c r="B281" s="8"/>
      <c r="C281" s="8"/>
      <c r="D281" s="6"/>
      <c r="E281" s="8"/>
    </row>
    <row r="282" spans="1:5">
      <c r="A282" s="8"/>
      <c r="B282" s="8"/>
      <c r="C282" s="8"/>
      <c r="D282" s="6"/>
      <c r="E282" s="8"/>
    </row>
    <row r="283" spans="1:5">
      <c r="A283" s="8"/>
      <c r="B283" s="8"/>
      <c r="C283" s="8"/>
      <c r="D283" s="6"/>
      <c r="E283" s="8"/>
    </row>
    <row r="284" spans="1:5">
      <c r="A284" s="8"/>
      <c r="B284" s="8"/>
      <c r="C284" s="8"/>
      <c r="D284" s="6"/>
      <c r="E284" s="8"/>
    </row>
    <row r="285" spans="1:5">
      <c r="A285" s="8"/>
      <c r="B285" s="8"/>
      <c r="C285" s="8"/>
      <c r="D285" s="6"/>
      <c r="E285" s="8"/>
    </row>
    <row r="286" spans="1:5">
      <c r="A286" s="8"/>
      <c r="B286" s="8"/>
      <c r="C286" s="8"/>
      <c r="D286" s="6"/>
      <c r="E286" s="8"/>
    </row>
    <row r="287" spans="1:5">
      <c r="A287" s="8"/>
      <c r="B287" s="8"/>
      <c r="C287" s="8"/>
      <c r="D287" s="6"/>
      <c r="E287" s="8"/>
    </row>
    <row r="288" spans="1:5">
      <c r="A288" s="8"/>
      <c r="B288" s="8"/>
      <c r="C288" s="8"/>
      <c r="D288" s="6"/>
      <c r="E288" s="8"/>
    </row>
    <row r="289" spans="1:5">
      <c r="A289" s="8"/>
      <c r="B289" s="8"/>
      <c r="C289" s="8"/>
      <c r="D289" s="6"/>
      <c r="E289" s="8"/>
    </row>
    <row r="290" spans="1:5">
      <c r="A290" s="8"/>
      <c r="B290" s="8"/>
      <c r="C290" s="8"/>
      <c r="D290" s="6"/>
      <c r="E290" s="8"/>
    </row>
    <row r="291" spans="1:5">
      <c r="A291" s="8"/>
      <c r="B291" s="8"/>
      <c r="C291" s="8"/>
      <c r="D291" s="6"/>
      <c r="E291" s="8"/>
    </row>
    <row r="292" spans="1:5">
      <c r="A292" s="8"/>
      <c r="B292" s="8"/>
      <c r="C292" s="8"/>
      <c r="D292" s="6"/>
      <c r="E292" s="8"/>
    </row>
    <row r="293" spans="1:5">
      <c r="A293" s="8"/>
      <c r="B293" s="8"/>
      <c r="C293" s="8"/>
      <c r="D293" s="6"/>
      <c r="E293" s="8"/>
    </row>
    <row r="294" spans="1:5">
      <c r="A294" s="8"/>
      <c r="B294" s="8"/>
      <c r="C294" s="8"/>
      <c r="D294" s="6"/>
      <c r="E294" s="8"/>
    </row>
    <row r="295" spans="1:5">
      <c r="A295" s="8"/>
      <c r="B295" s="8"/>
      <c r="C295" s="8"/>
      <c r="D295" s="6"/>
      <c r="E295" s="8"/>
    </row>
    <row r="296" spans="1:5">
      <c r="A296" s="8"/>
      <c r="B296" s="8"/>
      <c r="C296" s="8"/>
      <c r="D296" s="6"/>
      <c r="E296" s="8"/>
    </row>
    <row r="297" spans="1:5">
      <c r="A297" s="8"/>
      <c r="B297" s="8"/>
      <c r="C297" s="8"/>
      <c r="D297" s="6"/>
      <c r="E297" s="8"/>
    </row>
    <row r="298" spans="1:5">
      <c r="A298" s="8"/>
      <c r="B298" s="8"/>
      <c r="C298" s="8"/>
      <c r="D298" s="6"/>
      <c r="E298" s="8"/>
    </row>
    <row r="299" spans="1:5">
      <c r="A299" s="8"/>
      <c r="B299" s="8"/>
      <c r="C299" s="8"/>
      <c r="D299" s="6"/>
      <c r="E299" s="8"/>
    </row>
    <row r="300" spans="1:5">
      <c r="A300" s="8"/>
      <c r="B300" s="8"/>
      <c r="C300" s="8"/>
      <c r="D300" s="6"/>
      <c r="E300" s="8"/>
    </row>
    <row r="301" spans="1:5">
      <c r="A301" s="8"/>
      <c r="B301" s="8"/>
      <c r="C301" s="8"/>
      <c r="D301" s="6"/>
      <c r="E301" s="8"/>
    </row>
    <row r="302" spans="1:5">
      <c r="A302" s="8"/>
      <c r="B302" s="8"/>
      <c r="C302" s="8"/>
      <c r="D302" s="6"/>
      <c r="E302" s="8"/>
    </row>
    <row r="303" spans="1:5">
      <c r="A303" s="8"/>
      <c r="B303" s="8"/>
      <c r="C303" s="8"/>
      <c r="D303" s="6"/>
      <c r="E303" s="8"/>
    </row>
    <row r="304" spans="1:5">
      <c r="A304" s="8"/>
      <c r="B304" s="8"/>
      <c r="C304" s="8"/>
      <c r="D304" s="6"/>
      <c r="E304" s="8"/>
    </row>
    <row r="305" spans="1:5">
      <c r="A305" s="8"/>
      <c r="B305" s="8"/>
      <c r="C305" s="8"/>
      <c r="D305" s="6"/>
      <c r="E305" s="8"/>
    </row>
    <row r="306" spans="1:5">
      <c r="A306" s="8"/>
      <c r="B306" s="8"/>
      <c r="C306" s="8"/>
      <c r="D306" s="6"/>
      <c r="E306" s="8"/>
    </row>
    <row r="307" spans="1:5">
      <c r="A307" s="8"/>
      <c r="B307" s="8"/>
      <c r="C307" s="8"/>
      <c r="D307" s="6"/>
      <c r="E307" s="8"/>
    </row>
    <row r="308" spans="1:5">
      <c r="A308" s="8"/>
      <c r="B308" s="8"/>
      <c r="C308" s="8"/>
      <c r="D308" s="6"/>
      <c r="E308" s="8"/>
    </row>
    <row r="309" spans="1:5">
      <c r="A309" s="8"/>
      <c r="B309" s="8"/>
      <c r="C309" s="8"/>
      <c r="D309" s="6"/>
      <c r="E309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70CB-1918-4C9E-B779-40C50444831D}">
  <dimension ref="A1:J309"/>
  <sheetViews>
    <sheetView showGridLines="0" zoomScale="120" zoomScaleNormal="120" workbookViewId="0">
      <selection activeCell="C14" sqref="C14"/>
    </sheetView>
  </sheetViews>
  <sheetFormatPr defaultColWidth="9.140625" defaultRowHeight="15.6"/>
  <cols>
    <col min="1" max="4" width="13.5703125" style="9" customWidth="1"/>
    <col min="5" max="5" width="9.140625" style="1"/>
    <col min="6" max="9" width="10.28515625" style="1" customWidth="1"/>
    <col min="10" max="10" width="27.5703125" style="1" bestFit="1" customWidth="1"/>
    <col min="11" max="16384" width="9.140625" style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G1" s="14" t="s">
        <v>221</v>
      </c>
      <c r="H1" s="14" t="s">
        <v>222</v>
      </c>
      <c r="I1" s="14" t="s">
        <v>223</v>
      </c>
    </row>
    <row r="2" spans="1:10">
      <c r="A2" s="8" t="s">
        <v>4</v>
      </c>
      <c r="B2" s="1" t="s">
        <v>5</v>
      </c>
      <c r="C2" s="10">
        <v>2434</v>
      </c>
      <c r="D2" s="8" t="s">
        <v>6</v>
      </c>
      <c r="G2" s="10">
        <v>0</v>
      </c>
      <c r="H2" s="10">
        <v>1999</v>
      </c>
      <c r="I2" s="8" t="s">
        <v>224</v>
      </c>
    </row>
    <row r="3" spans="1:10">
      <c r="A3" s="8" t="s">
        <v>8</v>
      </c>
      <c r="B3" s="1" t="s">
        <v>9</v>
      </c>
      <c r="C3" s="10">
        <v>8222</v>
      </c>
      <c r="D3" s="8" t="s">
        <v>10</v>
      </c>
      <c r="G3" s="10">
        <v>2000</v>
      </c>
      <c r="H3" s="10">
        <v>3999</v>
      </c>
      <c r="I3" s="8" t="s">
        <v>225</v>
      </c>
    </row>
    <row r="4" spans="1:10">
      <c r="A4" s="8" t="s">
        <v>11</v>
      </c>
      <c r="B4" s="1" t="s">
        <v>12</v>
      </c>
      <c r="C4" s="10">
        <v>1016</v>
      </c>
      <c r="D4" s="8" t="s">
        <v>13</v>
      </c>
      <c r="G4" s="10">
        <v>4000</v>
      </c>
      <c r="H4" s="10">
        <v>5999</v>
      </c>
      <c r="I4" s="8" t="s">
        <v>226</v>
      </c>
    </row>
    <row r="5" spans="1:10">
      <c r="A5" s="8" t="s">
        <v>14</v>
      </c>
      <c r="B5" s="1" t="s">
        <v>15</v>
      </c>
      <c r="C5" s="10">
        <v>6531</v>
      </c>
      <c r="D5" s="8" t="s">
        <v>13</v>
      </c>
      <c r="G5" s="10">
        <v>6000</v>
      </c>
      <c r="H5" s="10">
        <v>7999</v>
      </c>
      <c r="I5" s="8" t="s">
        <v>227</v>
      </c>
    </row>
    <row r="6" spans="1:10">
      <c r="A6" s="8" t="s">
        <v>16</v>
      </c>
      <c r="B6" s="1" t="s">
        <v>17</v>
      </c>
      <c r="C6" s="10">
        <v>8521</v>
      </c>
      <c r="D6" s="8" t="s">
        <v>10</v>
      </c>
      <c r="G6" s="10">
        <v>8000</v>
      </c>
      <c r="H6" s="10">
        <v>9999</v>
      </c>
      <c r="I6" s="8" t="s">
        <v>228</v>
      </c>
    </row>
    <row r="7" spans="1:10">
      <c r="A7" s="8" t="s">
        <v>18</v>
      </c>
      <c r="B7" s="1" t="s">
        <v>19</v>
      </c>
      <c r="C7" s="10">
        <v>2924</v>
      </c>
      <c r="D7" s="8" t="s">
        <v>10</v>
      </c>
      <c r="G7" s="10">
        <v>10000</v>
      </c>
      <c r="H7" s="10" t="s">
        <v>229</v>
      </c>
      <c r="I7" s="8" t="s">
        <v>230</v>
      </c>
    </row>
    <row r="8" spans="1:10">
      <c r="A8" s="8" t="s">
        <v>20</v>
      </c>
      <c r="B8" s="1" t="s">
        <v>21</v>
      </c>
      <c r="C8" s="10">
        <v>1232</v>
      </c>
      <c r="D8" s="8" t="s">
        <v>6</v>
      </c>
    </row>
    <row r="9" spans="1:10">
      <c r="A9" s="8" t="s">
        <v>22</v>
      </c>
      <c r="B9" s="1" t="s">
        <v>23</v>
      </c>
      <c r="C9" s="10">
        <v>948</v>
      </c>
      <c r="D9" s="8" t="s">
        <v>6</v>
      </c>
      <c r="G9" s="16" t="s">
        <v>1</v>
      </c>
      <c r="H9" s="15" t="s">
        <v>31</v>
      </c>
    </row>
    <row r="10" spans="1:10">
      <c r="A10" s="8" t="s">
        <v>24</v>
      </c>
      <c r="B10" s="1" t="s">
        <v>25</v>
      </c>
      <c r="C10" s="10">
        <v>1750</v>
      </c>
      <c r="D10" s="8" t="s">
        <v>10</v>
      </c>
      <c r="G10" s="16" t="s">
        <v>2</v>
      </c>
      <c r="H10" s="10">
        <f>_xlfn.XLOOKUP(H9,B:B,C:C,0)</f>
        <v>11120</v>
      </c>
    </row>
    <row r="11" spans="1:10">
      <c r="A11" s="8" t="s">
        <v>26</v>
      </c>
      <c r="B11" s="1" t="s">
        <v>27</v>
      </c>
      <c r="C11" s="10">
        <v>7918</v>
      </c>
      <c r="D11" s="8" t="s">
        <v>10</v>
      </c>
      <c r="G11" s="5"/>
      <c r="H11" s="5"/>
    </row>
    <row r="12" spans="1:10" ht="15.75">
      <c r="A12" s="8" t="s">
        <v>28</v>
      </c>
      <c r="B12" s="1" t="s">
        <v>29</v>
      </c>
      <c r="C12" s="10">
        <v>1370</v>
      </c>
      <c r="D12" s="8" t="s">
        <v>6</v>
      </c>
      <c r="F12" s="18">
        <v>-1</v>
      </c>
      <c r="G12" s="16" t="s">
        <v>223</v>
      </c>
      <c r="H12" s="5" t="str">
        <f>_xlfn.XLOOKUP(H10,G2:G7,I2:I7,,-1)</f>
        <v>Nível F</v>
      </c>
      <c r="J12" s="32" t="s">
        <v>231</v>
      </c>
    </row>
    <row r="13" spans="1:10" ht="15.75">
      <c r="A13" s="8" t="s">
        <v>30</v>
      </c>
      <c r="B13" s="1" t="s">
        <v>31</v>
      </c>
      <c r="C13" s="10">
        <v>11120</v>
      </c>
      <c r="D13" s="8" t="s">
        <v>13</v>
      </c>
      <c r="F13" s="17">
        <v>1</v>
      </c>
      <c r="G13" s="16" t="s">
        <v>223</v>
      </c>
      <c r="H13" s="5" t="str">
        <f>_xlfn.XLOOKUP(H10,H2:H7,I2:I7,,1)</f>
        <v>Nível F</v>
      </c>
      <c r="J13" s="32" t="s">
        <v>232</v>
      </c>
    </row>
    <row r="14" spans="1:10">
      <c r="A14" s="8" t="s">
        <v>32</v>
      </c>
      <c r="B14" s="1" t="s">
        <v>33</v>
      </c>
      <c r="C14" s="10">
        <v>6228</v>
      </c>
      <c r="D14" s="8" t="s">
        <v>13</v>
      </c>
      <c r="G14" s="5"/>
      <c r="H14" s="5"/>
    </row>
    <row r="15" spans="1:10">
      <c r="A15" s="8" t="s">
        <v>34</v>
      </c>
      <c r="B15" s="1" t="s">
        <v>35</v>
      </c>
      <c r="C15" s="10">
        <v>1248</v>
      </c>
      <c r="D15" s="8" t="s">
        <v>10</v>
      </c>
    </row>
    <row r="16" spans="1:10">
      <c r="A16" s="8" t="s">
        <v>36</v>
      </c>
      <c r="B16" s="1" t="s">
        <v>37</v>
      </c>
      <c r="C16" s="10">
        <v>5828</v>
      </c>
      <c r="D16" s="8" t="s">
        <v>13</v>
      </c>
    </row>
    <row r="17" spans="1:4">
      <c r="A17" s="8" t="s">
        <v>38</v>
      </c>
      <c r="B17" s="1" t="s">
        <v>39</v>
      </c>
      <c r="C17" s="10">
        <v>5701</v>
      </c>
      <c r="D17" s="8" t="s">
        <v>10</v>
      </c>
    </row>
    <row r="18" spans="1:4">
      <c r="A18" s="8" t="s">
        <v>40</v>
      </c>
      <c r="B18" s="1" t="s">
        <v>41</v>
      </c>
      <c r="C18" s="10">
        <v>7500</v>
      </c>
      <c r="D18" s="8" t="s">
        <v>13</v>
      </c>
    </row>
    <row r="19" spans="1:4">
      <c r="A19" s="8" t="s">
        <v>42</v>
      </c>
      <c r="B19" s="1" t="s">
        <v>43</v>
      </c>
      <c r="C19" s="10">
        <v>5565</v>
      </c>
      <c r="D19" s="8" t="s">
        <v>6</v>
      </c>
    </row>
    <row r="20" spans="1:4">
      <c r="A20" s="8" t="s">
        <v>44</v>
      </c>
      <c r="B20" s="1" t="s">
        <v>45</v>
      </c>
      <c r="C20" s="10">
        <v>5900</v>
      </c>
      <c r="D20" s="8" t="s">
        <v>10</v>
      </c>
    </row>
    <row r="21" spans="1:4">
      <c r="A21" s="8" t="s">
        <v>46</v>
      </c>
      <c r="B21" s="1" t="s">
        <v>47</v>
      </c>
      <c r="C21" s="10">
        <v>608</v>
      </c>
      <c r="D21" s="8" t="s">
        <v>6</v>
      </c>
    </row>
    <row r="22" spans="1:4">
      <c r="A22" s="8" t="s">
        <v>48</v>
      </c>
      <c r="B22" s="1" t="s">
        <v>7</v>
      </c>
      <c r="C22" s="10">
        <v>819</v>
      </c>
      <c r="D22" s="8" t="s">
        <v>13</v>
      </c>
    </row>
    <row r="23" spans="1:4">
      <c r="A23" s="8" t="s">
        <v>49</v>
      </c>
      <c r="B23" s="1" t="s">
        <v>50</v>
      </c>
      <c r="C23" s="10">
        <v>564</v>
      </c>
      <c r="D23" s="8" t="s">
        <v>13</v>
      </c>
    </row>
    <row r="24" spans="1:4">
      <c r="A24" s="8" t="s">
        <v>51</v>
      </c>
      <c r="B24" s="1" t="s">
        <v>52</v>
      </c>
      <c r="C24" s="10">
        <v>7861</v>
      </c>
      <c r="D24" s="8" t="s">
        <v>6</v>
      </c>
    </row>
    <row r="25" spans="1:4">
      <c r="A25" s="8" t="s">
        <v>53</v>
      </c>
      <c r="B25" s="1" t="s">
        <v>54</v>
      </c>
      <c r="C25" s="10">
        <v>731</v>
      </c>
      <c r="D25" s="8" t="s">
        <v>6</v>
      </c>
    </row>
    <row r="26" spans="1:4">
      <c r="A26" s="8" t="s">
        <v>55</v>
      </c>
      <c r="B26" s="1" t="s">
        <v>56</v>
      </c>
      <c r="C26" s="10">
        <v>7150</v>
      </c>
      <c r="D26" s="8" t="s">
        <v>10</v>
      </c>
    </row>
    <row r="27" spans="1:4">
      <c r="A27" s="8" t="s">
        <v>57</v>
      </c>
      <c r="B27" s="1" t="s">
        <v>58</v>
      </c>
      <c r="C27" s="10">
        <v>9927</v>
      </c>
      <c r="D27" s="8" t="s">
        <v>6</v>
      </c>
    </row>
    <row r="28" spans="1:4">
      <c r="A28" s="8" t="s">
        <v>59</v>
      </c>
      <c r="B28" s="1" t="s">
        <v>60</v>
      </c>
      <c r="C28" s="10">
        <v>2219</v>
      </c>
      <c r="D28" s="8" t="s">
        <v>10</v>
      </c>
    </row>
    <row r="29" spans="1:4">
      <c r="A29" s="8" t="s">
        <v>61</v>
      </c>
      <c r="B29" s="1" t="s">
        <v>62</v>
      </c>
      <c r="C29" s="10">
        <v>3079</v>
      </c>
      <c r="D29" s="8" t="s">
        <v>13</v>
      </c>
    </row>
    <row r="30" spans="1:4">
      <c r="A30" s="8" t="s">
        <v>63</v>
      </c>
      <c r="B30" s="1" t="s">
        <v>64</v>
      </c>
      <c r="C30" s="10">
        <v>7887</v>
      </c>
      <c r="D30" s="8" t="s">
        <v>10</v>
      </c>
    </row>
    <row r="31" spans="1:4">
      <c r="A31" s="8" t="s">
        <v>65</v>
      </c>
      <c r="B31" s="1" t="s">
        <v>66</v>
      </c>
      <c r="C31" s="10">
        <v>6912</v>
      </c>
      <c r="D31" s="8" t="s">
        <v>6</v>
      </c>
    </row>
    <row r="32" spans="1:4">
      <c r="A32" s="8" t="s">
        <v>67</v>
      </c>
      <c r="B32" s="1" t="s">
        <v>68</v>
      </c>
      <c r="C32" s="10">
        <v>6202</v>
      </c>
      <c r="D32" s="8" t="s">
        <v>10</v>
      </c>
    </row>
    <row r="33" spans="1:4">
      <c r="A33" s="8" t="s">
        <v>69</v>
      </c>
      <c r="B33" s="1" t="s">
        <v>70</v>
      </c>
      <c r="C33" s="10">
        <v>3042</v>
      </c>
      <c r="D33" s="8" t="s">
        <v>6</v>
      </c>
    </row>
    <row r="34" spans="1:4">
      <c r="A34" s="8" t="s">
        <v>71</v>
      </c>
      <c r="B34" s="1" t="s">
        <v>72</v>
      </c>
      <c r="C34" s="10">
        <v>1430</v>
      </c>
      <c r="D34" s="8" t="s">
        <v>10</v>
      </c>
    </row>
    <row r="35" spans="1:4">
      <c r="A35" s="8" t="s">
        <v>73</v>
      </c>
      <c r="B35" s="1" t="s">
        <v>74</v>
      </c>
      <c r="C35" s="10">
        <v>2892</v>
      </c>
      <c r="D35" s="8" t="s">
        <v>10</v>
      </c>
    </row>
    <row r="36" spans="1:4">
      <c r="A36" s="8" t="s">
        <v>75</v>
      </c>
      <c r="B36" s="1" t="s">
        <v>76</v>
      </c>
      <c r="C36" s="10">
        <v>9172</v>
      </c>
      <c r="D36" s="8" t="s">
        <v>13</v>
      </c>
    </row>
    <row r="37" spans="1:4">
      <c r="A37" s="8" t="s">
        <v>77</v>
      </c>
      <c r="B37" s="1" t="s">
        <v>78</v>
      </c>
      <c r="C37" s="10">
        <v>357</v>
      </c>
      <c r="D37" s="8" t="s">
        <v>10</v>
      </c>
    </row>
    <row r="38" spans="1:4">
      <c r="A38" s="8" t="s">
        <v>79</v>
      </c>
      <c r="B38" s="1" t="s">
        <v>80</v>
      </c>
      <c r="C38" s="10">
        <v>619</v>
      </c>
      <c r="D38" s="8" t="s">
        <v>6</v>
      </c>
    </row>
    <row r="39" spans="1:4">
      <c r="A39" s="8" t="s">
        <v>81</v>
      </c>
      <c r="B39" s="1" t="s">
        <v>82</v>
      </c>
      <c r="C39" s="10">
        <v>7088</v>
      </c>
      <c r="D39" s="8" t="s">
        <v>13</v>
      </c>
    </row>
    <row r="40" spans="1:4">
      <c r="A40" s="8" t="s">
        <v>83</v>
      </c>
      <c r="B40" s="1" t="s">
        <v>84</v>
      </c>
      <c r="C40" s="10">
        <v>9380</v>
      </c>
      <c r="D40" s="8" t="s">
        <v>10</v>
      </c>
    </row>
    <row r="41" spans="1:4">
      <c r="A41" s="8" t="s">
        <v>85</v>
      </c>
      <c r="B41" s="1" t="s">
        <v>86</v>
      </c>
      <c r="C41" s="10">
        <v>3330</v>
      </c>
      <c r="D41" s="8" t="s">
        <v>10</v>
      </c>
    </row>
    <row r="42" spans="1:4">
      <c r="A42" s="8" t="s">
        <v>87</v>
      </c>
      <c r="B42" s="1" t="s">
        <v>88</v>
      </c>
      <c r="C42" s="10">
        <v>9746</v>
      </c>
      <c r="D42" s="8" t="s">
        <v>13</v>
      </c>
    </row>
    <row r="43" spans="1:4">
      <c r="A43" s="8" t="s">
        <v>89</v>
      </c>
      <c r="B43" s="1" t="s">
        <v>90</v>
      </c>
      <c r="C43" s="10">
        <v>9226</v>
      </c>
      <c r="D43" s="8" t="s">
        <v>13</v>
      </c>
    </row>
    <row r="44" spans="1:4">
      <c r="A44" s="8" t="s">
        <v>91</v>
      </c>
      <c r="B44" s="1" t="s">
        <v>92</v>
      </c>
      <c r="C44" s="10">
        <v>5808</v>
      </c>
      <c r="D44" s="8" t="s">
        <v>13</v>
      </c>
    </row>
    <row r="45" spans="1:4">
      <c r="A45" s="8" t="s">
        <v>93</v>
      </c>
      <c r="B45" s="1" t="s">
        <v>94</v>
      </c>
      <c r="C45" s="10">
        <v>6838</v>
      </c>
      <c r="D45" s="8" t="s">
        <v>6</v>
      </c>
    </row>
    <row r="46" spans="1:4">
      <c r="A46" s="8" t="s">
        <v>95</v>
      </c>
      <c r="B46" s="1" t="s">
        <v>96</v>
      </c>
      <c r="C46" s="10">
        <v>6330</v>
      </c>
      <c r="D46" s="8" t="s">
        <v>6</v>
      </c>
    </row>
    <row r="47" spans="1:4">
      <c r="A47" s="8" t="s">
        <v>97</v>
      </c>
      <c r="B47" s="1" t="s">
        <v>98</v>
      </c>
      <c r="C47" s="10">
        <v>701</v>
      </c>
      <c r="D47" s="8" t="s">
        <v>6</v>
      </c>
    </row>
    <row r="48" spans="1:4">
      <c r="A48" s="8" t="s">
        <v>99</v>
      </c>
      <c r="B48" s="1" t="s">
        <v>100</v>
      </c>
      <c r="C48" s="10">
        <v>7196</v>
      </c>
      <c r="D48" s="8" t="s">
        <v>10</v>
      </c>
    </row>
    <row r="49" spans="1:4">
      <c r="A49" s="8" t="s">
        <v>101</v>
      </c>
      <c r="B49" s="1" t="s">
        <v>102</v>
      </c>
      <c r="C49" s="10">
        <v>6864</v>
      </c>
      <c r="D49" s="8" t="s">
        <v>6</v>
      </c>
    </row>
    <row r="50" spans="1:4">
      <c r="A50" s="8" t="s">
        <v>103</v>
      </c>
      <c r="B50" s="1" t="s">
        <v>104</v>
      </c>
      <c r="C50" s="10">
        <v>1587</v>
      </c>
      <c r="D50" s="8" t="s">
        <v>6</v>
      </c>
    </row>
    <row r="51" spans="1:4">
      <c r="A51" s="8" t="s">
        <v>105</v>
      </c>
      <c r="B51" s="1" t="s">
        <v>106</v>
      </c>
      <c r="C51" s="10">
        <v>4717</v>
      </c>
      <c r="D51" s="8" t="s">
        <v>13</v>
      </c>
    </row>
    <row r="52" spans="1:4">
      <c r="A52" s="8" t="s">
        <v>107</v>
      </c>
      <c r="B52" s="1" t="s">
        <v>108</v>
      </c>
      <c r="C52" s="10">
        <v>6880</v>
      </c>
      <c r="D52" s="8" t="s">
        <v>10</v>
      </c>
    </row>
    <row r="53" spans="1:4">
      <c r="A53" s="8" t="s">
        <v>109</v>
      </c>
      <c r="B53" s="1" t="s">
        <v>110</v>
      </c>
      <c r="C53" s="10">
        <v>4853</v>
      </c>
      <c r="D53" s="8" t="s">
        <v>13</v>
      </c>
    </row>
    <row r="54" spans="1:4">
      <c r="A54" s="8" t="s">
        <v>111</v>
      </c>
      <c r="B54" s="1" t="s">
        <v>112</v>
      </c>
      <c r="C54" s="10">
        <v>801</v>
      </c>
      <c r="D54" s="8" t="s">
        <v>10</v>
      </c>
    </row>
    <row r="55" spans="1:4">
      <c r="A55" s="8" t="s">
        <v>113</v>
      </c>
      <c r="B55" s="1" t="s">
        <v>114</v>
      </c>
      <c r="C55" s="10">
        <v>1928</v>
      </c>
      <c r="D55" s="8" t="s">
        <v>13</v>
      </c>
    </row>
    <row r="56" spans="1:4">
      <c r="A56" s="8" t="s">
        <v>115</v>
      </c>
      <c r="B56" s="1" t="s">
        <v>116</v>
      </c>
      <c r="C56" s="10">
        <v>1028</v>
      </c>
      <c r="D56" s="8" t="s">
        <v>13</v>
      </c>
    </row>
    <row r="57" spans="1:4">
      <c r="A57" s="8" t="s">
        <v>117</v>
      </c>
      <c r="B57" s="1" t="s">
        <v>118</v>
      </c>
      <c r="C57" s="10">
        <v>5895</v>
      </c>
      <c r="D57" s="8" t="s">
        <v>10</v>
      </c>
    </row>
    <row r="58" spans="1:4">
      <c r="A58" s="8" t="s">
        <v>119</v>
      </c>
      <c r="B58" s="1" t="s">
        <v>120</v>
      </c>
      <c r="C58" s="10">
        <v>6489</v>
      </c>
      <c r="D58" s="8" t="s">
        <v>6</v>
      </c>
    </row>
    <row r="59" spans="1:4">
      <c r="A59" s="8" t="s">
        <v>121</v>
      </c>
      <c r="B59" s="1" t="s">
        <v>122</v>
      </c>
      <c r="C59" s="10">
        <v>9959</v>
      </c>
      <c r="D59" s="8" t="s">
        <v>10</v>
      </c>
    </row>
    <row r="60" spans="1:4">
      <c r="A60" s="8" t="s">
        <v>123</v>
      </c>
      <c r="B60" s="1" t="s">
        <v>124</v>
      </c>
      <c r="C60" s="10">
        <v>620</v>
      </c>
      <c r="D60" s="8" t="s">
        <v>13</v>
      </c>
    </row>
    <row r="61" spans="1:4">
      <c r="A61" s="8" t="s">
        <v>125</v>
      </c>
      <c r="B61" s="1" t="s">
        <v>126</v>
      </c>
      <c r="C61" s="10">
        <v>7231</v>
      </c>
      <c r="D61" s="8" t="s">
        <v>13</v>
      </c>
    </row>
    <row r="62" spans="1:4">
      <c r="A62" s="8" t="s">
        <v>127</v>
      </c>
      <c r="B62" s="1" t="s">
        <v>128</v>
      </c>
      <c r="C62" s="10">
        <v>4548</v>
      </c>
      <c r="D62" s="8" t="s">
        <v>13</v>
      </c>
    </row>
    <row r="63" spans="1:4">
      <c r="A63" s="8" t="s">
        <v>129</v>
      </c>
      <c r="B63" s="1" t="s">
        <v>130</v>
      </c>
      <c r="C63" s="10">
        <v>7846</v>
      </c>
      <c r="D63" s="8" t="s">
        <v>10</v>
      </c>
    </row>
    <row r="64" spans="1:4">
      <c r="A64" s="8" t="s">
        <v>131</v>
      </c>
      <c r="B64" s="1" t="s">
        <v>132</v>
      </c>
      <c r="C64" s="10">
        <v>7573</v>
      </c>
      <c r="D64" s="8" t="s">
        <v>13</v>
      </c>
    </row>
    <row r="65" spans="1:4">
      <c r="A65" s="8" t="s">
        <v>133</v>
      </c>
      <c r="B65" s="1" t="s">
        <v>134</v>
      </c>
      <c r="C65" s="10">
        <v>6785</v>
      </c>
      <c r="D65" s="8" t="s">
        <v>13</v>
      </c>
    </row>
    <row r="66" spans="1:4">
      <c r="A66" s="8" t="s">
        <v>135</v>
      </c>
      <c r="B66" s="1" t="s">
        <v>136</v>
      </c>
      <c r="C66" s="10">
        <v>7699</v>
      </c>
      <c r="D66" s="8" t="s">
        <v>13</v>
      </c>
    </row>
    <row r="67" spans="1:4">
      <c r="A67" s="8" t="s">
        <v>137</v>
      </c>
      <c r="B67" s="1" t="s">
        <v>138</v>
      </c>
      <c r="C67" s="10">
        <v>6281</v>
      </c>
      <c r="D67" s="8" t="s">
        <v>6</v>
      </c>
    </row>
    <row r="68" spans="1:4">
      <c r="A68" s="8" t="s">
        <v>139</v>
      </c>
      <c r="B68" s="1" t="s">
        <v>140</v>
      </c>
      <c r="C68" s="10">
        <v>959</v>
      </c>
      <c r="D68" s="8" t="s">
        <v>13</v>
      </c>
    </row>
    <row r="69" spans="1:4">
      <c r="A69" s="8" t="s">
        <v>141</v>
      </c>
      <c r="B69" s="1" t="s">
        <v>142</v>
      </c>
      <c r="C69" s="10">
        <v>9644</v>
      </c>
      <c r="D69" s="8" t="s">
        <v>13</v>
      </c>
    </row>
    <row r="70" spans="1:4">
      <c r="A70" s="8" t="s">
        <v>143</v>
      </c>
      <c r="B70" s="1" t="s">
        <v>144</v>
      </c>
      <c r="C70" s="10">
        <v>5728</v>
      </c>
      <c r="D70" s="8" t="s">
        <v>6</v>
      </c>
    </row>
    <row r="71" spans="1:4">
      <c r="A71" s="8" t="s">
        <v>145</v>
      </c>
      <c r="B71" s="1" t="s">
        <v>146</v>
      </c>
      <c r="C71" s="10">
        <v>9216</v>
      </c>
      <c r="D71" s="8" t="s">
        <v>13</v>
      </c>
    </row>
    <row r="72" spans="1:4">
      <c r="A72" s="8" t="s">
        <v>147</v>
      </c>
      <c r="B72" s="1" t="s">
        <v>148</v>
      </c>
      <c r="C72" s="10">
        <v>2985</v>
      </c>
      <c r="D72" s="8" t="s">
        <v>13</v>
      </c>
    </row>
    <row r="73" spans="1:4">
      <c r="A73" s="8" t="s">
        <v>149</v>
      </c>
      <c r="B73" s="1" t="s">
        <v>150</v>
      </c>
      <c r="C73" s="10">
        <v>8403</v>
      </c>
      <c r="D73" s="8" t="s">
        <v>10</v>
      </c>
    </row>
    <row r="74" spans="1:4">
      <c r="A74" s="8" t="s">
        <v>151</v>
      </c>
      <c r="B74" s="1" t="s">
        <v>152</v>
      </c>
      <c r="C74" s="10">
        <v>8250</v>
      </c>
      <c r="D74" s="8" t="s">
        <v>13</v>
      </c>
    </row>
    <row r="75" spans="1:4">
      <c r="A75" s="8" t="s">
        <v>153</v>
      </c>
      <c r="B75" s="1" t="s">
        <v>154</v>
      </c>
      <c r="C75" s="10">
        <v>3185</v>
      </c>
      <c r="D75" s="8" t="s">
        <v>6</v>
      </c>
    </row>
    <row r="76" spans="1:4">
      <c r="A76" s="8" t="s">
        <v>155</v>
      </c>
      <c r="B76" s="1" t="s">
        <v>156</v>
      </c>
      <c r="C76" s="10">
        <v>5718</v>
      </c>
      <c r="D76" s="8" t="s">
        <v>10</v>
      </c>
    </row>
    <row r="77" spans="1:4">
      <c r="A77" s="8" t="s">
        <v>157</v>
      </c>
      <c r="B77" s="1" t="s">
        <v>158</v>
      </c>
      <c r="C77" s="10">
        <v>4388</v>
      </c>
      <c r="D77" s="8" t="s">
        <v>6</v>
      </c>
    </row>
    <row r="78" spans="1:4">
      <c r="A78" s="8" t="s">
        <v>159</v>
      </c>
      <c r="B78" s="1" t="s">
        <v>160</v>
      </c>
      <c r="C78" s="10">
        <v>7880</v>
      </c>
      <c r="D78" s="8" t="s">
        <v>6</v>
      </c>
    </row>
    <row r="79" spans="1:4">
      <c r="A79" s="8" t="s">
        <v>161</v>
      </c>
      <c r="B79" s="1" t="s">
        <v>162</v>
      </c>
      <c r="C79" s="10">
        <v>304</v>
      </c>
      <c r="D79" s="8" t="s">
        <v>13</v>
      </c>
    </row>
    <row r="80" spans="1:4">
      <c r="A80" s="8" t="s">
        <v>163</v>
      </c>
      <c r="B80" s="1" t="s">
        <v>164</v>
      </c>
      <c r="C80" s="10">
        <v>8521</v>
      </c>
      <c r="D80" s="8" t="s">
        <v>10</v>
      </c>
    </row>
    <row r="81" spans="1:4">
      <c r="A81" s="8" t="s">
        <v>165</v>
      </c>
      <c r="B81" s="1" t="s">
        <v>166</v>
      </c>
      <c r="C81" s="10">
        <v>9004</v>
      </c>
      <c r="D81" s="8" t="s">
        <v>6</v>
      </c>
    </row>
    <row r="82" spans="1:4">
      <c r="A82" s="8" t="s">
        <v>167</v>
      </c>
      <c r="B82" s="1" t="s">
        <v>168</v>
      </c>
      <c r="C82" s="10">
        <v>6818</v>
      </c>
      <c r="D82" s="8" t="s">
        <v>6</v>
      </c>
    </row>
    <row r="83" spans="1:4">
      <c r="A83" s="8" t="s">
        <v>169</v>
      </c>
      <c r="B83" s="1" t="s">
        <v>170</v>
      </c>
      <c r="C83" s="10">
        <v>8253</v>
      </c>
      <c r="D83" s="8" t="s">
        <v>6</v>
      </c>
    </row>
    <row r="84" spans="1:4">
      <c r="A84" s="8" t="s">
        <v>171</v>
      </c>
      <c r="B84" s="1" t="s">
        <v>172</v>
      </c>
      <c r="C84" s="10">
        <v>4525</v>
      </c>
      <c r="D84" s="8" t="s">
        <v>10</v>
      </c>
    </row>
    <row r="85" spans="1:4">
      <c r="A85" s="8" t="s">
        <v>173</v>
      </c>
      <c r="B85" s="1" t="s">
        <v>174</v>
      </c>
      <c r="C85" s="10">
        <v>8932</v>
      </c>
      <c r="D85" s="8" t="s">
        <v>6</v>
      </c>
    </row>
    <row r="86" spans="1:4">
      <c r="A86" s="8" t="s">
        <v>175</v>
      </c>
      <c r="B86" s="1" t="s">
        <v>176</v>
      </c>
      <c r="C86" s="10">
        <v>6255</v>
      </c>
      <c r="D86" s="8" t="s">
        <v>6</v>
      </c>
    </row>
    <row r="87" spans="1:4">
      <c r="A87" s="8" t="s">
        <v>177</v>
      </c>
      <c r="B87" s="1" t="s">
        <v>178</v>
      </c>
      <c r="C87" s="10">
        <v>4078</v>
      </c>
      <c r="D87" s="8" t="s">
        <v>13</v>
      </c>
    </row>
    <row r="88" spans="1:4">
      <c r="A88" s="8" t="s">
        <v>179</v>
      </c>
      <c r="B88" s="1" t="s">
        <v>180</v>
      </c>
      <c r="C88" s="10">
        <v>5986</v>
      </c>
      <c r="D88" s="8" t="s">
        <v>10</v>
      </c>
    </row>
    <row r="89" spans="1:4">
      <c r="A89" s="8" t="s">
        <v>181</v>
      </c>
      <c r="B89" s="1" t="s">
        <v>182</v>
      </c>
      <c r="C89" s="10">
        <v>2976</v>
      </c>
      <c r="D89" s="8" t="s">
        <v>6</v>
      </c>
    </row>
    <row r="90" spans="1:4">
      <c r="A90" s="8" t="s">
        <v>183</v>
      </c>
      <c r="B90" s="1" t="s">
        <v>184</v>
      </c>
      <c r="C90" s="10">
        <v>5519</v>
      </c>
      <c r="D90" s="8" t="s">
        <v>10</v>
      </c>
    </row>
    <row r="91" spans="1:4">
      <c r="A91" s="8" t="s">
        <v>185</v>
      </c>
      <c r="B91" s="1" t="s">
        <v>186</v>
      </c>
      <c r="C91" s="10">
        <v>2780</v>
      </c>
      <c r="D91" s="8" t="s">
        <v>13</v>
      </c>
    </row>
    <row r="92" spans="1:4">
      <c r="A92" s="8" t="s">
        <v>187</v>
      </c>
      <c r="B92" s="1" t="s">
        <v>188</v>
      </c>
      <c r="C92" s="10">
        <v>559</v>
      </c>
      <c r="D92" s="8" t="s">
        <v>13</v>
      </c>
    </row>
    <row r="93" spans="1:4">
      <c r="A93" s="8" t="s">
        <v>189</v>
      </c>
      <c r="B93" s="1" t="s">
        <v>190</v>
      </c>
      <c r="C93" s="10">
        <v>610</v>
      </c>
      <c r="D93" s="8" t="s">
        <v>13</v>
      </c>
    </row>
    <row r="94" spans="1:4">
      <c r="A94" s="8" t="s">
        <v>191</v>
      </c>
      <c r="B94" s="1" t="s">
        <v>192</v>
      </c>
      <c r="C94" s="10">
        <v>9775</v>
      </c>
      <c r="D94" s="8" t="s">
        <v>13</v>
      </c>
    </row>
    <row r="95" spans="1:4">
      <c r="A95" s="8" t="s">
        <v>193</v>
      </c>
      <c r="B95" s="1" t="s">
        <v>194</v>
      </c>
      <c r="C95" s="10">
        <v>9280</v>
      </c>
      <c r="D95" s="8" t="s">
        <v>6</v>
      </c>
    </row>
    <row r="96" spans="1:4">
      <c r="A96" s="8" t="s">
        <v>195</v>
      </c>
      <c r="B96" s="1" t="s">
        <v>196</v>
      </c>
      <c r="C96" s="10">
        <v>2868</v>
      </c>
      <c r="D96" s="8" t="s">
        <v>6</v>
      </c>
    </row>
    <row r="97" spans="1:4">
      <c r="A97" s="8" t="s">
        <v>197</v>
      </c>
      <c r="B97" s="1" t="s">
        <v>198</v>
      </c>
      <c r="C97" s="10">
        <v>1401</v>
      </c>
      <c r="D97" s="8" t="s">
        <v>13</v>
      </c>
    </row>
    <row r="98" spans="1:4">
      <c r="A98" s="8" t="s">
        <v>199</v>
      </c>
      <c r="B98" s="1" t="s">
        <v>200</v>
      </c>
      <c r="C98" s="10">
        <v>4498</v>
      </c>
      <c r="D98" s="8" t="s">
        <v>10</v>
      </c>
    </row>
    <row r="99" spans="1:4">
      <c r="A99" s="8" t="s">
        <v>201</v>
      </c>
      <c r="B99" s="1" t="s">
        <v>202</v>
      </c>
      <c r="C99" s="10">
        <v>5409</v>
      </c>
      <c r="D99" s="8" t="s">
        <v>6</v>
      </c>
    </row>
    <row r="100" spans="1:4">
      <c r="A100" s="8" t="s">
        <v>203</v>
      </c>
      <c r="B100" s="1" t="s">
        <v>204</v>
      </c>
      <c r="C100" s="10">
        <v>1099</v>
      </c>
      <c r="D100" s="8" t="s">
        <v>10</v>
      </c>
    </row>
    <row r="101" spans="1:4">
      <c r="A101" s="8" t="s">
        <v>205</v>
      </c>
      <c r="B101" s="1" t="s">
        <v>206</v>
      </c>
      <c r="C101" s="10">
        <v>765</v>
      </c>
      <c r="D101" s="8" t="s">
        <v>10</v>
      </c>
    </row>
    <row r="102" spans="1:4">
      <c r="A102" s="8"/>
      <c r="B102" s="1"/>
      <c r="C102" s="6"/>
      <c r="D102" s="8"/>
    </row>
    <row r="103" spans="1:4">
      <c r="A103" s="8"/>
      <c r="B103" s="1"/>
      <c r="C103" s="6"/>
      <c r="D103" s="8"/>
    </row>
    <row r="104" spans="1:4">
      <c r="A104" s="8"/>
      <c r="B104" s="1"/>
      <c r="C104" s="6"/>
      <c r="D104" s="8"/>
    </row>
    <row r="105" spans="1:4">
      <c r="A105" s="8"/>
      <c r="B105" s="1"/>
      <c r="C105" s="6"/>
      <c r="D105" s="8"/>
    </row>
    <row r="106" spans="1:4">
      <c r="A106" s="8"/>
      <c r="B106" s="1"/>
      <c r="C106" s="6"/>
      <c r="D106" s="8"/>
    </row>
    <row r="107" spans="1:4">
      <c r="A107" s="8"/>
      <c r="B107" s="1"/>
      <c r="C107" s="6"/>
      <c r="D107" s="8"/>
    </row>
    <row r="108" spans="1:4">
      <c r="A108" s="8"/>
      <c r="B108" s="1"/>
      <c r="C108" s="6"/>
      <c r="D108" s="8"/>
    </row>
    <row r="109" spans="1:4">
      <c r="A109" s="8"/>
      <c r="B109" s="1"/>
      <c r="C109" s="6"/>
      <c r="D109" s="8"/>
    </row>
    <row r="110" spans="1:4">
      <c r="A110" s="8"/>
      <c r="B110" s="1"/>
      <c r="C110" s="6"/>
      <c r="D110" s="8"/>
    </row>
    <row r="111" spans="1:4">
      <c r="A111" s="8"/>
      <c r="B111" s="1"/>
      <c r="C111" s="6"/>
      <c r="D111" s="8"/>
    </row>
    <row r="112" spans="1:4">
      <c r="A112" s="8"/>
      <c r="B112" s="1"/>
      <c r="C112" s="6"/>
      <c r="D112" s="8"/>
    </row>
    <row r="113" spans="1:4">
      <c r="A113" s="8"/>
      <c r="B113" s="1"/>
      <c r="C113" s="6"/>
      <c r="D113" s="8"/>
    </row>
    <row r="114" spans="1:4">
      <c r="A114" s="8"/>
      <c r="B114" s="1"/>
      <c r="C114" s="6"/>
      <c r="D114" s="8"/>
    </row>
    <row r="115" spans="1:4">
      <c r="A115" s="8"/>
      <c r="B115" s="1"/>
      <c r="C115" s="6"/>
      <c r="D115" s="8"/>
    </row>
    <row r="116" spans="1:4">
      <c r="A116" s="8"/>
      <c r="B116" s="1"/>
      <c r="C116" s="6"/>
      <c r="D116" s="8"/>
    </row>
    <row r="117" spans="1:4">
      <c r="A117" s="8"/>
      <c r="B117" s="1"/>
      <c r="C117" s="6"/>
      <c r="D117" s="8"/>
    </row>
    <row r="118" spans="1:4">
      <c r="A118" s="8"/>
      <c r="B118" s="1"/>
      <c r="C118" s="6"/>
      <c r="D118" s="8"/>
    </row>
    <row r="119" spans="1:4">
      <c r="A119" s="8"/>
      <c r="B119" s="1"/>
      <c r="C119" s="6"/>
      <c r="D119" s="8"/>
    </row>
    <row r="120" spans="1:4">
      <c r="A120" s="8"/>
      <c r="B120" s="1"/>
      <c r="C120" s="6"/>
      <c r="D120" s="8"/>
    </row>
    <row r="121" spans="1:4">
      <c r="A121" s="8"/>
      <c r="B121" s="1"/>
      <c r="C121" s="6"/>
      <c r="D121" s="8"/>
    </row>
    <row r="122" spans="1:4">
      <c r="A122" s="8"/>
      <c r="B122" s="1"/>
      <c r="C122" s="6"/>
      <c r="D122" s="8"/>
    </row>
    <row r="123" spans="1:4">
      <c r="A123" s="8"/>
      <c r="B123" s="1"/>
      <c r="C123" s="6"/>
      <c r="D123" s="8"/>
    </row>
    <row r="124" spans="1:4">
      <c r="A124" s="8"/>
      <c r="B124" s="1"/>
      <c r="C124" s="6"/>
      <c r="D124" s="8"/>
    </row>
    <row r="125" spans="1:4">
      <c r="A125" s="8"/>
      <c r="B125" s="1"/>
      <c r="C125" s="6"/>
      <c r="D125" s="8"/>
    </row>
    <row r="126" spans="1:4">
      <c r="A126" s="8"/>
      <c r="B126" s="1"/>
      <c r="C126" s="6"/>
      <c r="D126" s="8"/>
    </row>
    <row r="127" spans="1:4">
      <c r="A127" s="8"/>
      <c r="B127" s="1"/>
      <c r="C127" s="6"/>
      <c r="D127" s="8"/>
    </row>
    <row r="128" spans="1:4">
      <c r="A128" s="8"/>
      <c r="B128" s="1"/>
      <c r="C128" s="6"/>
      <c r="D128" s="8"/>
    </row>
    <row r="129" spans="1:4">
      <c r="A129" s="8"/>
      <c r="B129" s="1"/>
      <c r="C129" s="6"/>
      <c r="D129" s="8"/>
    </row>
    <row r="130" spans="1:4">
      <c r="A130" s="8"/>
      <c r="B130" s="1"/>
      <c r="C130" s="6"/>
      <c r="D130" s="8"/>
    </row>
    <row r="131" spans="1:4">
      <c r="A131" s="8"/>
      <c r="B131" s="1"/>
      <c r="C131" s="6"/>
      <c r="D131" s="8"/>
    </row>
    <row r="132" spans="1:4">
      <c r="A132" s="8"/>
      <c r="B132" s="1"/>
      <c r="C132" s="6"/>
      <c r="D132" s="8"/>
    </row>
    <row r="133" spans="1:4">
      <c r="A133" s="8"/>
      <c r="B133" s="1"/>
      <c r="C133" s="6"/>
      <c r="D133" s="8"/>
    </row>
    <row r="134" spans="1:4">
      <c r="A134" s="8"/>
      <c r="B134" s="1"/>
      <c r="C134" s="6"/>
      <c r="D134" s="8"/>
    </row>
    <row r="135" spans="1:4">
      <c r="A135" s="8"/>
      <c r="B135" s="1"/>
      <c r="C135" s="6"/>
      <c r="D135" s="8"/>
    </row>
    <row r="136" spans="1:4">
      <c r="A136" s="8"/>
      <c r="B136" s="1"/>
      <c r="C136" s="6"/>
      <c r="D136" s="8"/>
    </row>
    <row r="137" spans="1:4">
      <c r="A137" s="8"/>
      <c r="B137" s="1"/>
      <c r="C137" s="6"/>
      <c r="D137" s="8"/>
    </row>
    <row r="138" spans="1:4">
      <c r="A138" s="8"/>
      <c r="B138" s="1"/>
      <c r="C138" s="6"/>
      <c r="D138" s="8"/>
    </row>
    <row r="139" spans="1:4">
      <c r="A139" s="8"/>
      <c r="B139" s="1"/>
      <c r="C139" s="6"/>
      <c r="D139" s="8"/>
    </row>
    <row r="140" spans="1:4">
      <c r="A140" s="8"/>
      <c r="B140" s="1"/>
      <c r="C140" s="6"/>
      <c r="D140" s="8"/>
    </row>
    <row r="141" spans="1:4">
      <c r="A141" s="8"/>
      <c r="B141" s="1"/>
      <c r="C141" s="6"/>
      <c r="D141" s="8"/>
    </row>
    <row r="142" spans="1:4">
      <c r="A142" s="8"/>
      <c r="B142" s="1"/>
      <c r="C142" s="6"/>
      <c r="D142" s="8"/>
    </row>
    <row r="143" spans="1:4">
      <c r="A143" s="8"/>
      <c r="B143" s="1"/>
      <c r="C143" s="6"/>
      <c r="D143" s="8"/>
    </row>
    <row r="144" spans="1:4">
      <c r="A144" s="8"/>
      <c r="B144" s="1"/>
      <c r="C144" s="6"/>
      <c r="D144" s="8"/>
    </row>
    <row r="145" spans="1:4">
      <c r="A145" s="8"/>
      <c r="B145" s="1"/>
      <c r="C145" s="6"/>
      <c r="D145" s="8"/>
    </row>
    <row r="146" spans="1:4">
      <c r="A146" s="8"/>
      <c r="B146" s="1"/>
      <c r="C146" s="6"/>
      <c r="D146" s="8"/>
    </row>
    <row r="147" spans="1:4">
      <c r="A147" s="8"/>
      <c r="B147" s="1"/>
      <c r="C147" s="6"/>
      <c r="D147" s="8"/>
    </row>
    <row r="148" spans="1:4">
      <c r="A148" s="8"/>
      <c r="B148" s="1"/>
      <c r="C148" s="6"/>
      <c r="D148" s="8"/>
    </row>
    <row r="149" spans="1:4">
      <c r="A149" s="8"/>
      <c r="B149" s="1"/>
      <c r="C149" s="6"/>
      <c r="D149" s="8"/>
    </row>
    <row r="150" spans="1:4">
      <c r="A150" s="8"/>
      <c r="B150" s="1"/>
      <c r="C150" s="6"/>
      <c r="D150" s="8"/>
    </row>
    <row r="151" spans="1:4">
      <c r="A151" s="8"/>
      <c r="B151" s="1"/>
      <c r="C151" s="6"/>
      <c r="D151" s="8"/>
    </row>
    <row r="152" spans="1:4">
      <c r="A152" s="8"/>
      <c r="B152" s="1"/>
      <c r="C152" s="6"/>
      <c r="D152" s="8"/>
    </row>
    <row r="153" spans="1:4">
      <c r="A153" s="8"/>
      <c r="B153" s="1"/>
      <c r="C153" s="6"/>
      <c r="D153" s="8"/>
    </row>
    <row r="154" spans="1:4">
      <c r="A154" s="8"/>
      <c r="B154" s="1"/>
      <c r="C154" s="6"/>
      <c r="D154" s="8"/>
    </row>
    <row r="155" spans="1:4">
      <c r="A155" s="8"/>
      <c r="B155" s="1"/>
      <c r="C155" s="6"/>
      <c r="D155" s="8"/>
    </row>
    <row r="156" spans="1:4">
      <c r="A156" s="8"/>
      <c r="B156" s="1"/>
      <c r="C156" s="6"/>
      <c r="D156" s="8"/>
    </row>
    <row r="157" spans="1:4">
      <c r="A157" s="8"/>
      <c r="B157" s="1"/>
      <c r="C157" s="6"/>
      <c r="D157" s="8"/>
    </row>
    <row r="158" spans="1:4">
      <c r="A158" s="8"/>
      <c r="B158" s="1"/>
      <c r="C158" s="6"/>
      <c r="D158" s="8"/>
    </row>
    <row r="159" spans="1:4">
      <c r="A159" s="8"/>
      <c r="B159" s="1"/>
      <c r="C159" s="6"/>
      <c r="D159" s="8"/>
    </row>
    <row r="160" spans="1:4">
      <c r="A160" s="8"/>
      <c r="B160" s="1"/>
      <c r="C160" s="6"/>
      <c r="D160" s="8"/>
    </row>
    <row r="161" spans="1:4">
      <c r="A161" s="8"/>
      <c r="B161" s="1"/>
      <c r="C161" s="6"/>
      <c r="D161" s="8"/>
    </row>
    <row r="162" spans="1:4">
      <c r="A162" s="8"/>
      <c r="B162" s="1"/>
      <c r="C162" s="6"/>
      <c r="D162" s="8"/>
    </row>
    <row r="163" spans="1:4">
      <c r="A163" s="8"/>
      <c r="B163" s="1"/>
      <c r="C163" s="6"/>
      <c r="D163" s="8"/>
    </row>
    <row r="164" spans="1:4">
      <c r="A164" s="8"/>
      <c r="B164" s="1"/>
      <c r="C164" s="6"/>
      <c r="D164" s="8"/>
    </row>
    <row r="165" spans="1:4">
      <c r="A165" s="8"/>
      <c r="B165" s="1"/>
      <c r="C165" s="6"/>
      <c r="D165" s="8"/>
    </row>
    <row r="166" spans="1:4">
      <c r="A166" s="8"/>
      <c r="B166" s="1"/>
      <c r="C166" s="6"/>
      <c r="D166" s="8"/>
    </row>
    <row r="167" spans="1:4">
      <c r="A167" s="8"/>
      <c r="B167" s="1"/>
      <c r="C167" s="6"/>
      <c r="D167" s="8"/>
    </row>
    <row r="168" spans="1:4">
      <c r="A168" s="8"/>
      <c r="B168" s="1"/>
      <c r="C168" s="6"/>
      <c r="D168" s="8"/>
    </row>
    <row r="169" spans="1:4">
      <c r="A169" s="8"/>
      <c r="B169" s="1"/>
      <c r="C169" s="6"/>
      <c r="D169" s="8"/>
    </row>
    <row r="170" spans="1:4">
      <c r="A170" s="8"/>
      <c r="B170" s="1"/>
      <c r="C170" s="6"/>
      <c r="D170" s="8"/>
    </row>
    <row r="171" spans="1:4">
      <c r="A171" s="8"/>
      <c r="B171" s="1"/>
      <c r="C171" s="6"/>
      <c r="D171" s="8"/>
    </row>
    <row r="172" spans="1:4">
      <c r="A172" s="8"/>
      <c r="B172" s="1"/>
      <c r="C172" s="6"/>
      <c r="D172" s="8"/>
    </row>
    <row r="173" spans="1:4">
      <c r="A173" s="8"/>
      <c r="B173" s="1"/>
      <c r="C173" s="6"/>
      <c r="D173" s="8"/>
    </row>
    <row r="174" spans="1:4">
      <c r="A174" s="8"/>
      <c r="B174" s="1"/>
      <c r="C174" s="6"/>
      <c r="D174" s="8"/>
    </row>
    <row r="175" spans="1:4">
      <c r="A175" s="8"/>
      <c r="B175" s="1"/>
      <c r="C175" s="6"/>
      <c r="D175" s="8"/>
    </row>
    <row r="176" spans="1:4">
      <c r="A176" s="8"/>
      <c r="B176" s="1"/>
      <c r="C176" s="6"/>
      <c r="D176" s="8"/>
    </row>
    <row r="177" spans="1:4">
      <c r="A177" s="8"/>
      <c r="B177" s="1"/>
      <c r="C177" s="6"/>
      <c r="D177" s="8"/>
    </row>
    <row r="178" spans="1:4">
      <c r="A178" s="8"/>
      <c r="B178" s="1"/>
      <c r="C178" s="6"/>
      <c r="D178" s="8"/>
    </row>
    <row r="179" spans="1:4">
      <c r="A179" s="8"/>
      <c r="B179" s="1"/>
      <c r="C179" s="6"/>
      <c r="D179" s="8"/>
    </row>
    <row r="180" spans="1:4">
      <c r="A180" s="8"/>
      <c r="B180" s="1"/>
      <c r="C180" s="6"/>
      <c r="D180" s="8"/>
    </row>
    <row r="181" spans="1:4">
      <c r="A181" s="8"/>
      <c r="B181" s="1"/>
      <c r="C181" s="6"/>
      <c r="D181" s="8"/>
    </row>
    <row r="182" spans="1:4">
      <c r="A182" s="8"/>
      <c r="B182" s="1"/>
      <c r="C182" s="6"/>
      <c r="D182" s="8"/>
    </row>
    <row r="183" spans="1:4">
      <c r="A183" s="8"/>
      <c r="B183" s="1"/>
      <c r="C183" s="6"/>
      <c r="D183" s="8"/>
    </row>
    <row r="184" spans="1:4">
      <c r="A184" s="8"/>
      <c r="B184" s="1"/>
      <c r="C184" s="6"/>
      <c r="D184" s="8"/>
    </row>
    <row r="185" spans="1:4">
      <c r="A185" s="8"/>
      <c r="B185" s="1"/>
      <c r="C185" s="6"/>
      <c r="D185" s="8"/>
    </row>
    <row r="186" spans="1:4">
      <c r="A186" s="8"/>
      <c r="B186" s="1"/>
      <c r="C186" s="6"/>
      <c r="D186" s="8"/>
    </row>
    <row r="187" spans="1:4">
      <c r="A187" s="8"/>
      <c r="B187" s="1"/>
      <c r="C187" s="6"/>
      <c r="D187" s="8"/>
    </row>
    <row r="188" spans="1:4">
      <c r="A188" s="8"/>
      <c r="B188" s="1"/>
      <c r="C188" s="6"/>
      <c r="D188" s="8"/>
    </row>
    <row r="189" spans="1:4">
      <c r="A189" s="8"/>
      <c r="B189" s="1"/>
      <c r="C189" s="6"/>
      <c r="D189" s="8"/>
    </row>
    <row r="190" spans="1:4">
      <c r="A190" s="8"/>
      <c r="B190" s="1"/>
      <c r="C190" s="6"/>
      <c r="D190" s="8"/>
    </row>
    <row r="191" spans="1:4">
      <c r="A191" s="8"/>
      <c r="B191" s="1"/>
      <c r="C191" s="6"/>
      <c r="D191" s="8"/>
    </row>
    <row r="192" spans="1:4">
      <c r="A192" s="8"/>
      <c r="B192" s="1"/>
      <c r="C192" s="6"/>
      <c r="D192" s="8"/>
    </row>
    <row r="193" spans="1:4">
      <c r="A193" s="8"/>
      <c r="B193" s="1"/>
      <c r="C193" s="6"/>
      <c r="D193" s="8"/>
    </row>
    <row r="194" spans="1:4">
      <c r="A194" s="8"/>
      <c r="B194" s="1"/>
      <c r="C194" s="6"/>
      <c r="D194" s="8"/>
    </row>
    <row r="195" spans="1:4">
      <c r="A195" s="8"/>
      <c r="B195" s="1"/>
      <c r="C195" s="6"/>
      <c r="D195" s="8"/>
    </row>
    <row r="196" spans="1:4">
      <c r="A196" s="8"/>
      <c r="B196" s="1"/>
      <c r="C196" s="6"/>
      <c r="D196" s="8"/>
    </row>
    <row r="197" spans="1:4">
      <c r="A197" s="8"/>
      <c r="B197" s="1"/>
      <c r="C197" s="6"/>
      <c r="D197" s="8"/>
    </row>
    <row r="198" spans="1:4">
      <c r="A198" s="8"/>
      <c r="B198" s="1"/>
      <c r="C198" s="6"/>
      <c r="D198" s="8"/>
    </row>
    <row r="199" spans="1:4">
      <c r="A199" s="8"/>
      <c r="B199" s="1"/>
      <c r="C199" s="6"/>
      <c r="D199" s="8"/>
    </row>
    <row r="200" spans="1:4">
      <c r="A200" s="8"/>
      <c r="B200" s="1"/>
      <c r="C200" s="6"/>
      <c r="D200" s="8"/>
    </row>
    <row r="201" spans="1:4">
      <c r="A201" s="8"/>
      <c r="B201" s="1"/>
      <c r="C201" s="6"/>
      <c r="D201" s="8"/>
    </row>
    <row r="202" spans="1:4">
      <c r="A202" s="8"/>
      <c r="B202" s="1"/>
      <c r="C202" s="6"/>
      <c r="D202" s="8"/>
    </row>
    <row r="203" spans="1:4">
      <c r="A203" s="8"/>
      <c r="B203" s="1"/>
      <c r="C203" s="6"/>
      <c r="D203" s="8"/>
    </row>
    <row r="204" spans="1:4">
      <c r="A204" s="8"/>
      <c r="B204" s="1"/>
      <c r="C204" s="6"/>
      <c r="D204" s="8"/>
    </row>
    <row r="205" spans="1:4">
      <c r="A205" s="8"/>
      <c r="B205" s="1"/>
      <c r="C205" s="6"/>
      <c r="D205" s="8"/>
    </row>
    <row r="206" spans="1:4">
      <c r="A206" s="8"/>
      <c r="B206" s="1"/>
      <c r="C206" s="6"/>
      <c r="D206" s="8"/>
    </row>
    <row r="207" spans="1:4">
      <c r="A207" s="8"/>
      <c r="B207" s="1"/>
      <c r="C207" s="6"/>
      <c r="D207" s="8"/>
    </row>
    <row r="208" spans="1:4">
      <c r="A208" s="8"/>
      <c r="B208" s="1"/>
      <c r="C208" s="6"/>
      <c r="D208" s="8"/>
    </row>
    <row r="209" spans="1:4">
      <c r="A209" s="8"/>
      <c r="B209" s="1"/>
      <c r="C209" s="6"/>
      <c r="D209" s="8"/>
    </row>
    <row r="210" spans="1:4">
      <c r="A210" s="8"/>
      <c r="B210" s="1"/>
      <c r="C210" s="6"/>
      <c r="D210" s="8"/>
    </row>
    <row r="211" spans="1:4">
      <c r="A211" s="8"/>
      <c r="B211" s="1"/>
      <c r="C211" s="6"/>
      <c r="D211" s="8"/>
    </row>
    <row r="212" spans="1:4">
      <c r="A212" s="8"/>
      <c r="B212" s="1"/>
      <c r="C212" s="6"/>
      <c r="D212" s="8"/>
    </row>
    <row r="213" spans="1:4">
      <c r="A213" s="8"/>
      <c r="B213" s="1"/>
      <c r="C213" s="6"/>
      <c r="D213" s="8"/>
    </row>
    <row r="214" spans="1:4">
      <c r="A214" s="8"/>
      <c r="B214" s="1"/>
      <c r="C214" s="6"/>
      <c r="D214" s="8"/>
    </row>
    <row r="215" spans="1:4">
      <c r="A215" s="8"/>
      <c r="B215" s="1"/>
      <c r="C215" s="6"/>
      <c r="D215" s="8"/>
    </row>
    <row r="216" spans="1:4">
      <c r="A216" s="8"/>
      <c r="B216" s="1"/>
      <c r="C216" s="6"/>
      <c r="D216" s="8"/>
    </row>
    <row r="217" spans="1:4">
      <c r="A217" s="8"/>
      <c r="B217" s="1"/>
      <c r="C217" s="6"/>
      <c r="D217" s="8"/>
    </row>
    <row r="218" spans="1:4">
      <c r="A218" s="8"/>
      <c r="B218" s="1"/>
      <c r="C218" s="6"/>
      <c r="D218" s="8"/>
    </row>
    <row r="219" spans="1:4">
      <c r="A219" s="8"/>
      <c r="B219" s="1"/>
      <c r="C219" s="6"/>
      <c r="D219" s="8"/>
    </row>
    <row r="220" spans="1:4">
      <c r="A220" s="8"/>
      <c r="B220" s="1"/>
      <c r="C220" s="6"/>
      <c r="D220" s="8"/>
    </row>
    <row r="221" spans="1:4">
      <c r="A221" s="8"/>
      <c r="B221" s="1"/>
      <c r="C221" s="6"/>
      <c r="D221" s="8"/>
    </row>
    <row r="222" spans="1:4">
      <c r="A222" s="8"/>
      <c r="B222" s="1"/>
      <c r="C222" s="6"/>
      <c r="D222" s="8"/>
    </row>
    <row r="223" spans="1:4">
      <c r="A223" s="8"/>
      <c r="B223" s="1"/>
      <c r="C223" s="6"/>
      <c r="D223" s="8"/>
    </row>
    <row r="224" spans="1:4">
      <c r="A224" s="8"/>
      <c r="B224" s="1"/>
      <c r="C224" s="6"/>
      <c r="D224" s="8"/>
    </row>
    <row r="225" spans="1:4">
      <c r="A225" s="8"/>
      <c r="B225" s="1"/>
      <c r="C225" s="6"/>
      <c r="D225" s="8"/>
    </row>
    <row r="226" spans="1:4">
      <c r="A226" s="8"/>
      <c r="B226" s="1"/>
      <c r="C226" s="6"/>
      <c r="D226" s="8"/>
    </row>
    <row r="227" spans="1:4">
      <c r="A227" s="8"/>
      <c r="B227" s="1"/>
      <c r="C227" s="6"/>
      <c r="D227" s="8"/>
    </row>
    <row r="228" spans="1:4">
      <c r="A228" s="8"/>
      <c r="B228" s="1"/>
      <c r="C228" s="6"/>
      <c r="D228" s="8"/>
    </row>
    <row r="229" spans="1:4">
      <c r="A229" s="8"/>
      <c r="B229" s="1"/>
      <c r="C229" s="6"/>
      <c r="D229" s="8"/>
    </row>
    <row r="230" spans="1:4">
      <c r="A230" s="8"/>
      <c r="B230" s="1"/>
      <c r="C230" s="6"/>
      <c r="D230" s="8"/>
    </row>
    <row r="231" spans="1:4">
      <c r="A231" s="8"/>
      <c r="B231" s="1"/>
      <c r="C231" s="6"/>
      <c r="D231" s="8"/>
    </row>
    <row r="232" spans="1:4">
      <c r="A232" s="8"/>
      <c r="B232" s="1"/>
      <c r="C232" s="6"/>
      <c r="D232" s="8"/>
    </row>
    <row r="233" spans="1:4">
      <c r="A233" s="8"/>
      <c r="B233" s="1"/>
      <c r="C233" s="6"/>
      <c r="D233" s="8"/>
    </row>
    <row r="234" spans="1:4">
      <c r="A234" s="8"/>
      <c r="B234" s="1"/>
      <c r="C234" s="6"/>
      <c r="D234" s="8"/>
    </row>
    <row r="235" spans="1:4">
      <c r="A235" s="8"/>
      <c r="B235" s="1"/>
      <c r="C235" s="6"/>
      <c r="D235" s="8"/>
    </row>
    <row r="236" spans="1:4">
      <c r="A236" s="8"/>
      <c r="B236" s="1"/>
      <c r="C236" s="6"/>
      <c r="D236" s="8"/>
    </row>
    <row r="237" spans="1:4">
      <c r="A237" s="8"/>
      <c r="B237" s="1"/>
      <c r="C237" s="6"/>
      <c r="D237" s="8"/>
    </row>
    <row r="238" spans="1:4">
      <c r="A238" s="8"/>
      <c r="B238" s="1"/>
      <c r="C238" s="6"/>
      <c r="D238" s="8"/>
    </row>
    <row r="239" spans="1:4">
      <c r="A239" s="8"/>
      <c r="B239" s="1"/>
      <c r="C239" s="6"/>
      <c r="D239" s="8"/>
    </row>
    <row r="240" spans="1:4">
      <c r="A240" s="8"/>
      <c r="B240" s="1"/>
      <c r="C240" s="6"/>
      <c r="D240" s="8"/>
    </row>
    <row r="241" spans="1:4">
      <c r="A241" s="8"/>
      <c r="B241" s="1"/>
      <c r="C241" s="6"/>
      <c r="D241" s="8"/>
    </row>
    <row r="242" spans="1:4">
      <c r="A242" s="8"/>
      <c r="B242" s="1"/>
      <c r="C242" s="6"/>
      <c r="D242" s="8"/>
    </row>
    <row r="243" spans="1:4">
      <c r="A243" s="8"/>
      <c r="B243" s="1"/>
      <c r="C243" s="6"/>
      <c r="D243" s="8"/>
    </row>
    <row r="244" spans="1:4">
      <c r="A244" s="8"/>
      <c r="B244" s="1"/>
      <c r="C244" s="6"/>
      <c r="D244" s="8"/>
    </row>
    <row r="245" spans="1:4">
      <c r="A245" s="8"/>
      <c r="B245" s="1"/>
      <c r="C245" s="6"/>
      <c r="D245" s="8"/>
    </row>
    <row r="246" spans="1:4">
      <c r="A246" s="8"/>
      <c r="B246" s="1"/>
      <c r="C246" s="6"/>
      <c r="D246" s="8"/>
    </row>
    <row r="247" spans="1:4">
      <c r="A247" s="8"/>
      <c r="B247" s="1"/>
      <c r="C247" s="6"/>
      <c r="D247" s="8"/>
    </row>
    <row r="248" spans="1:4">
      <c r="A248" s="8"/>
      <c r="B248" s="1"/>
      <c r="C248" s="6"/>
      <c r="D248" s="8"/>
    </row>
    <row r="249" spans="1:4">
      <c r="A249" s="8"/>
      <c r="B249" s="1"/>
      <c r="C249" s="6"/>
      <c r="D249" s="8"/>
    </row>
    <row r="250" spans="1:4">
      <c r="A250" s="8"/>
      <c r="B250" s="1"/>
      <c r="C250" s="6"/>
      <c r="D250" s="8"/>
    </row>
    <row r="251" spans="1:4">
      <c r="A251" s="8"/>
      <c r="B251" s="1"/>
      <c r="C251" s="6"/>
      <c r="D251" s="8"/>
    </row>
    <row r="252" spans="1:4">
      <c r="A252" s="8"/>
      <c r="B252" s="1"/>
      <c r="C252" s="6"/>
      <c r="D252" s="8"/>
    </row>
    <row r="253" spans="1:4">
      <c r="A253" s="8"/>
      <c r="B253" s="1"/>
      <c r="C253" s="6"/>
      <c r="D253" s="8"/>
    </row>
    <row r="254" spans="1:4">
      <c r="A254" s="8"/>
      <c r="B254" s="1"/>
      <c r="C254" s="6"/>
      <c r="D254" s="8"/>
    </row>
    <row r="255" spans="1:4">
      <c r="A255" s="8"/>
      <c r="B255" s="1"/>
      <c r="C255" s="6"/>
      <c r="D255" s="8"/>
    </row>
    <row r="256" spans="1:4">
      <c r="A256" s="8"/>
      <c r="B256" s="1"/>
      <c r="C256" s="6"/>
      <c r="D256" s="8"/>
    </row>
    <row r="257" spans="1:4">
      <c r="A257" s="8"/>
      <c r="B257" s="1"/>
      <c r="C257" s="6"/>
      <c r="D257" s="8"/>
    </row>
    <row r="258" spans="1:4">
      <c r="A258" s="8"/>
      <c r="B258" s="1"/>
      <c r="C258" s="6"/>
      <c r="D258" s="8"/>
    </row>
    <row r="259" spans="1:4">
      <c r="A259" s="8"/>
      <c r="B259" s="1"/>
      <c r="C259" s="6"/>
      <c r="D259" s="8"/>
    </row>
    <row r="260" spans="1:4">
      <c r="A260" s="8"/>
      <c r="B260" s="1"/>
      <c r="C260" s="6"/>
      <c r="D260" s="8"/>
    </row>
    <row r="261" spans="1:4">
      <c r="A261" s="8"/>
      <c r="B261" s="8"/>
      <c r="C261" s="6"/>
      <c r="D261" s="8"/>
    </row>
    <row r="262" spans="1:4">
      <c r="A262" s="8"/>
      <c r="B262" s="8"/>
      <c r="C262" s="6"/>
      <c r="D262" s="8"/>
    </row>
    <row r="263" spans="1:4">
      <c r="A263" s="8"/>
      <c r="B263" s="8"/>
      <c r="C263" s="6"/>
      <c r="D263" s="8"/>
    </row>
    <row r="264" spans="1:4">
      <c r="A264" s="8"/>
      <c r="B264" s="8"/>
      <c r="C264" s="6"/>
      <c r="D264" s="8"/>
    </row>
    <row r="265" spans="1:4">
      <c r="A265" s="8"/>
      <c r="B265" s="8"/>
      <c r="C265" s="6"/>
      <c r="D265" s="8"/>
    </row>
    <row r="266" spans="1:4">
      <c r="A266" s="8"/>
      <c r="B266" s="8"/>
      <c r="C266" s="6"/>
      <c r="D266" s="8"/>
    </row>
    <row r="267" spans="1:4">
      <c r="A267" s="8"/>
      <c r="B267" s="8"/>
      <c r="C267" s="6"/>
      <c r="D267" s="8"/>
    </row>
    <row r="268" spans="1:4">
      <c r="A268" s="8"/>
      <c r="B268" s="8"/>
      <c r="C268" s="6"/>
      <c r="D268" s="8"/>
    </row>
    <row r="269" spans="1:4">
      <c r="A269" s="8"/>
      <c r="B269" s="8"/>
      <c r="C269" s="6"/>
      <c r="D269" s="8"/>
    </row>
    <row r="270" spans="1:4">
      <c r="A270" s="8"/>
      <c r="B270" s="8"/>
      <c r="C270" s="6"/>
      <c r="D270" s="8"/>
    </row>
    <row r="271" spans="1:4">
      <c r="A271" s="8"/>
      <c r="B271" s="8"/>
      <c r="C271" s="6"/>
      <c r="D271" s="8"/>
    </row>
    <row r="272" spans="1:4">
      <c r="A272" s="8"/>
      <c r="B272" s="8"/>
      <c r="C272" s="6"/>
      <c r="D272" s="8"/>
    </row>
    <row r="273" spans="1:4">
      <c r="A273" s="8"/>
      <c r="B273" s="8"/>
      <c r="C273" s="6"/>
      <c r="D273" s="8"/>
    </row>
    <row r="274" spans="1:4">
      <c r="A274" s="8"/>
      <c r="B274" s="8"/>
      <c r="C274" s="6"/>
      <c r="D274" s="8"/>
    </row>
    <row r="275" spans="1:4">
      <c r="A275" s="8"/>
      <c r="B275" s="8"/>
      <c r="C275" s="6"/>
      <c r="D275" s="8"/>
    </row>
    <row r="276" spans="1:4">
      <c r="A276" s="8"/>
      <c r="B276" s="8"/>
      <c r="C276" s="6"/>
      <c r="D276" s="8"/>
    </row>
    <row r="277" spans="1:4">
      <c r="A277" s="8"/>
      <c r="B277" s="8"/>
      <c r="C277" s="6"/>
      <c r="D277" s="8"/>
    </row>
    <row r="278" spans="1:4">
      <c r="A278" s="8"/>
      <c r="B278" s="8"/>
      <c r="C278" s="6"/>
      <c r="D278" s="8"/>
    </row>
    <row r="279" spans="1:4">
      <c r="A279" s="8"/>
      <c r="B279" s="8"/>
      <c r="C279" s="6"/>
      <c r="D279" s="8"/>
    </row>
    <row r="280" spans="1:4">
      <c r="A280" s="8"/>
      <c r="B280" s="8"/>
      <c r="C280" s="6"/>
      <c r="D280" s="8"/>
    </row>
    <row r="281" spans="1:4">
      <c r="A281" s="8"/>
      <c r="B281" s="8"/>
      <c r="C281" s="6"/>
      <c r="D281" s="8"/>
    </row>
    <row r="282" spans="1:4">
      <c r="A282" s="8"/>
      <c r="B282" s="8"/>
      <c r="C282" s="6"/>
      <c r="D282" s="8"/>
    </row>
    <row r="283" spans="1:4">
      <c r="A283" s="8"/>
      <c r="B283" s="8"/>
      <c r="C283" s="6"/>
      <c r="D283" s="8"/>
    </row>
    <row r="284" spans="1:4">
      <c r="A284" s="8"/>
      <c r="B284" s="8"/>
      <c r="C284" s="6"/>
      <c r="D284" s="8"/>
    </row>
    <row r="285" spans="1:4">
      <c r="A285" s="8"/>
      <c r="B285" s="8"/>
      <c r="C285" s="6"/>
      <c r="D285" s="8"/>
    </row>
    <row r="286" spans="1:4">
      <c r="A286" s="8"/>
      <c r="B286" s="8"/>
      <c r="C286" s="6"/>
      <c r="D286" s="8"/>
    </row>
    <row r="287" spans="1:4">
      <c r="A287" s="8"/>
      <c r="B287" s="8"/>
      <c r="C287" s="6"/>
      <c r="D287" s="8"/>
    </row>
    <row r="288" spans="1:4">
      <c r="A288" s="8"/>
      <c r="B288" s="8"/>
      <c r="C288" s="6"/>
      <c r="D288" s="8"/>
    </row>
    <row r="289" spans="1:4">
      <c r="A289" s="8"/>
      <c r="B289" s="8"/>
      <c r="C289" s="6"/>
      <c r="D289" s="8"/>
    </row>
    <row r="290" spans="1:4">
      <c r="A290" s="8"/>
      <c r="B290" s="8"/>
      <c r="C290" s="6"/>
      <c r="D290" s="8"/>
    </row>
    <row r="291" spans="1:4">
      <c r="A291" s="8"/>
      <c r="B291" s="8"/>
      <c r="C291" s="6"/>
      <c r="D291" s="8"/>
    </row>
    <row r="292" spans="1:4">
      <c r="A292" s="8"/>
      <c r="B292" s="8"/>
      <c r="C292" s="6"/>
      <c r="D292" s="8"/>
    </row>
    <row r="293" spans="1:4">
      <c r="A293" s="8"/>
      <c r="B293" s="8"/>
      <c r="C293" s="6"/>
      <c r="D293" s="8"/>
    </row>
    <row r="294" spans="1:4">
      <c r="A294" s="8"/>
      <c r="B294" s="8"/>
      <c r="C294" s="6"/>
      <c r="D294" s="8"/>
    </row>
    <row r="295" spans="1:4">
      <c r="A295" s="8"/>
      <c r="B295" s="8"/>
      <c r="C295" s="6"/>
      <c r="D295" s="8"/>
    </row>
    <row r="296" spans="1:4">
      <c r="A296" s="8"/>
      <c r="B296" s="8"/>
      <c r="C296" s="6"/>
      <c r="D296" s="8"/>
    </row>
    <row r="297" spans="1:4">
      <c r="A297" s="8"/>
      <c r="B297" s="8"/>
      <c r="C297" s="6"/>
      <c r="D297" s="8"/>
    </row>
    <row r="298" spans="1:4">
      <c r="A298" s="8"/>
      <c r="B298" s="8"/>
      <c r="C298" s="6"/>
      <c r="D298" s="8"/>
    </row>
    <row r="299" spans="1:4">
      <c r="A299" s="8"/>
      <c r="B299" s="8"/>
      <c r="C299" s="6"/>
      <c r="D299" s="8"/>
    </row>
    <row r="300" spans="1:4">
      <c r="A300" s="8"/>
      <c r="B300" s="8"/>
      <c r="C300" s="6"/>
      <c r="D300" s="8"/>
    </row>
    <row r="301" spans="1:4">
      <c r="A301" s="8"/>
      <c r="B301" s="8"/>
      <c r="C301" s="6"/>
      <c r="D301" s="8"/>
    </row>
    <row r="302" spans="1:4">
      <c r="A302" s="8"/>
      <c r="B302" s="8"/>
      <c r="C302" s="6"/>
      <c r="D302" s="8"/>
    </row>
    <row r="303" spans="1:4">
      <c r="A303" s="8"/>
      <c r="B303" s="8"/>
      <c r="C303" s="6"/>
      <c r="D303" s="8"/>
    </row>
    <row r="304" spans="1:4">
      <c r="A304" s="8"/>
      <c r="B304" s="8"/>
      <c r="C304" s="6"/>
      <c r="D304" s="8"/>
    </row>
    <row r="305" spans="1:4">
      <c r="A305" s="8"/>
      <c r="B305" s="8"/>
      <c r="C305" s="6"/>
      <c r="D305" s="8"/>
    </row>
    <row r="306" spans="1:4">
      <c r="A306" s="8"/>
      <c r="B306" s="8"/>
      <c r="C306" s="6"/>
      <c r="D306" s="8"/>
    </row>
    <row r="307" spans="1:4">
      <c r="A307" s="8"/>
      <c r="B307" s="8"/>
      <c r="C307" s="6"/>
      <c r="D307" s="8"/>
    </row>
    <row r="308" spans="1:4">
      <c r="A308" s="8"/>
      <c r="B308" s="8"/>
      <c r="C308" s="6"/>
      <c r="D308" s="8"/>
    </row>
    <row r="309" spans="1:4">
      <c r="A309" s="8"/>
      <c r="B309" s="8"/>
      <c r="C309" s="6"/>
      <c r="D309" s="8"/>
    </row>
  </sheetData>
  <autoFilter ref="A1:D101" xr:uid="{F76870CB-1918-4C9E-B779-40C50444831D}"/>
  <dataValidations count="1">
    <dataValidation type="list" allowBlank="1" showInputMessage="1" showErrorMessage="1" sqref="H9" xr:uid="{68AD0E04-5D40-410F-A133-9553A27A907F}">
      <formula1>$B$2:$B$101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FD92-AE42-445C-8771-97B628B0347E}">
  <dimension ref="A1:Q500"/>
  <sheetViews>
    <sheetView showGridLines="0" zoomScale="120" zoomScaleNormal="120" workbookViewId="0">
      <selection activeCell="F10" sqref="F10"/>
    </sheetView>
  </sheetViews>
  <sheetFormatPr defaultColWidth="9.140625" defaultRowHeight="15.6"/>
  <cols>
    <col min="1" max="4" width="16.28515625" style="8" customWidth="1"/>
    <col min="5" max="5" width="9.7109375" style="8" bestFit="1" customWidth="1"/>
    <col min="6" max="6" width="15.42578125" style="8" customWidth="1"/>
    <col min="7" max="7" width="15.42578125" style="21" customWidth="1"/>
    <col min="8" max="10" width="9.140625" style="1"/>
    <col min="11" max="11" width="0" style="1" hidden="1" customWidth="1"/>
    <col min="12" max="16384" width="9.140625" style="1"/>
  </cols>
  <sheetData>
    <row r="1" spans="1:17">
      <c r="A1" s="7" t="s">
        <v>233</v>
      </c>
      <c r="B1" s="7" t="s">
        <v>234</v>
      </c>
      <c r="C1" s="7" t="s">
        <v>235</v>
      </c>
      <c r="D1" s="7" t="s">
        <v>236</v>
      </c>
      <c r="E1" s="19"/>
      <c r="F1" s="7" t="s">
        <v>235</v>
      </c>
      <c r="G1" s="28" t="s">
        <v>237</v>
      </c>
      <c r="K1" s="8" t="s">
        <v>238</v>
      </c>
    </row>
    <row r="2" spans="1:17">
      <c r="A2" s="20">
        <v>44197</v>
      </c>
      <c r="B2" s="8" t="s">
        <v>239</v>
      </c>
      <c r="C2" s="8" t="s">
        <v>238</v>
      </c>
      <c r="D2" s="6" t="s">
        <v>240</v>
      </c>
      <c r="E2" s="19"/>
      <c r="F2" s="22"/>
      <c r="G2" s="23"/>
      <c r="K2" s="8" t="s">
        <v>241</v>
      </c>
    </row>
    <row r="3" spans="1:17">
      <c r="A3" s="20">
        <v>44197</v>
      </c>
      <c r="B3" s="8" t="s">
        <v>242</v>
      </c>
      <c r="C3" s="8" t="s">
        <v>243</v>
      </c>
      <c r="D3" s="6" t="s">
        <v>240</v>
      </c>
      <c r="F3" s="26" t="s">
        <v>244</v>
      </c>
      <c r="G3" s="24" t="str">
        <f>_xlfn.XLOOKUP(G1,C:C,B:B,,,1)</f>
        <v>Projeto 36</v>
      </c>
      <c r="K3" s="8" t="s">
        <v>243</v>
      </c>
    </row>
    <row r="4" spans="1:17">
      <c r="A4" s="20">
        <v>44198</v>
      </c>
      <c r="B4" s="8" t="s">
        <v>245</v>
      </c>
      <c r="C4" s="8" t="s">
        <v>243</v>
      </c>
      <c r="D4" s="6" t="s">
        <v>246</v>
      </c>
      <c r="F4" s="26" t="s">
        <v>233</v>
      </c>
      <c r="G4" s="27">
        <f>_xlfn.XLOOKUP(G3,B:B,A:A)</f>
        <v>44199</v>
      </c>
      <c r="K4" s="8" t="s">
        <v>237</v>
      </c>
    </row>
    <row r="5" spans="1:17">
      <c r="A5" s="20">
        <v>44199</v>
      </c>
      <c r="B5" s="8" t="s">
        <v>247</v>
      </c>
      <c r="C5" s="8" t="s">
        <v>241</v>
      </c>
      <c r="D5" s="6" t="s">
        <v>248</v>
      </c>
      <c r="F5" s="26" t="s">
        <v>236</v>
      </c>
      <c r="G5" s="25" t="str">
        <f>_xlfn.XLOOKUP(G3,B:B,D:D)</f>
        <v>Negociando</v>
      </c>
      <c r="K5"/>
    </row>
    <row r="6" spans="1:17">
      <c r="A6" s="20">
        <v>44199</v>
      </c>
      <c r="B6" s="8" t="s">
        <v>249</v>
      </c>
      <c r="C6" s="8" t="s">
        <v>237</v>
      </c>
      <c r="D6" s="6" t="s">
        <v>248</v>
      </c>
      <c r="F6" s="22"/>
      <c r="G6" s="23"/>
      <c r="K6"/>
    </row>
    <row r="7" spans="1:17">
      <c r="A7" s="20">
        <v>44199</v>
      </c>
      <c r="B7" s="8" t="s">
        <v>250</v>
      </c>
      <c r="C7" s="8" t="s">
        <v>243</v>
      </c>
      <c r="D7" s="6" t="s">
        <v>246</v>
      </c>
      <c r="F7" s="26" t="s">
        <v>251</v>
      </c>
      <c r="G7" s="25" t="str">
        <f>_xlfn.XLOOKUP(G1,C:C,B:B,,,-1)</f>
        <v>Projeto 40</v>
      </c>
      <c r="K7"/>
    </row>
    <row r="8" spans="1:17">
      <c r="A8" s="20">
        <v>44199</v>
      </c>
      <c r="B8" s="8" t="s">
        <v>252</v>
      </c>
      <c r="C8" s="8" t="s">
        <v>241</v>
      </c>
      <c r="D8" s="6" t="s">
        <v>246</v>
      </c>
      <c r="F8" s="26" t="s">
        <v>233</v>
      </c>
      <c r="G8" s="27">
        <f>_xlfn.XLOOKUP(G7,B:B,A:A,)</f>
        <v>44227</v>
      </c>
      <c r="K8"/>
    </row>
    <row r="9" spans="1:17">
      <c r="A9" s="20">
        <v>44200</v>
      </c>
      <c r="B9" s="8" t="s">
        <v>253</v>
      </c>
      <c r="C9" s="8" t="s">
        <v>241</v>
      </c>
      <c r="D9" s="6" t="s">
        <v>240</v>
      </c>
      <c r="F9" s="26" t="s">
        <v>236</v>
      </c>
      <c r="G9" s="25" t="str">
        <f>_xlfn.XLOOKUP(G7,B:B,D:D)</f>
        <v>Contrato</v>
      </c>
      <c r="K9"/>
    </row>
    <row r="10" spans="1:17">
      <c r="A10" s="20">
        <v>44201</v>
      </c>
      <c r="B10" s="8" t="s">
        <v>254</v>
      </c>
      <c r="C10" s="8" t="s">
        <v>237</v>
      </c>
      <c r="D10" s="6" t="s">
        <v>246</v>
      </c>
      <c r="K10"/>
    </row>
    <row r="11" spans="1:17">
      <c r="A11" s="20">
        <v>44202</v>
      </c>
      <c r="B11" s="8" t="s">
        <v>255</v>
      </c>
      <c r="C11" s="8" t="s">
        <v>243</v>
      </c>
      <c r="D11" s="6" t="s">
        <v>246</v>
      </c>
      <c r="F11" s="20"/>
      <c r="K11"/>
      <c r="Q11"/>
    </row>
    <row r="12" spans="1:17">
      <c r="A12" s="20">
        <v>44203</v>
      </c>
      <c r="B12" s="8" t="s">
        <v>256</v>
      </c>
      <c r="C12" s="8" t="s">
        <v>241</v>
      </c>
      <c r="D12" s="6" t="s">
        <v>257</v>
      </c>
      <c r="F12" s="20"/>
      <c r="K12"/>
      <c r="Q12"/>
    </row>
    <row r="13" spans="1:17">
      <c r="A13" s="20">
        <v>44203</v>
      </c>
      <c r="B13" s="8" t="s">
        <v>258</v>
      </c>
      <c r="C13" s="8" t="s">
        <v>238</v>
      </c>
      <c r="D13" s="6" t="s">
        <v>257</v>
      </c>
      <c r="K13"/>
      <c r="Q13"/>
    </row>
    <row r="14" spans="1:17">
      <c r="A14" s="20">
        <v>44204</v>
      </c>
      <c r="B14" s="8" t="s">
        <v>259</v>
      </c>
      <c r="C14" s="8" t="s">
        <v>237</v>
      </c>
      <c r="D14" s="6" t="s">
        <v>248</v>
      </c>
      <c r="K14"/>
      <c r="Q14"/>
    </row>
    <row r="15" spans="1:17">
      <c r="A15" s="20">
        <v>44206</v>
      </c>
      <c r="B15" s="8" t="s">
        <v>260</v>
      </c>
      <c r="C15" s="8" t="s">
        <v>241</v>
      </c>
      <c r="D15" s="6" t="s">
        <v>248</v>
      </c>
      <c r="K15"/>
      <c r="Q15"/>
    </row>
    <row r="16" spans="1:17">
      <c r="A16" s="20">
        <v>44206</v>
      </c>
      <c r="B16" s="8" t="s">
        <v>261</v>
      </c>
      <c r="C16" s="8" t="s">
        <v>241</v>
      </c>
      <c r="D16" s="6" t="s">
        <v>257</v>
      </c>
      <c r="K16"/>
      <c r="Q16"/>
    </row>
    <row r="17" spans="1:17">
      <c r="A17" s="20">
        <v>44206</v>
      </c>
      <c r="B17" s="8" t="s">
        <v>262</v>
      </c>
      <c r="C17" s="8" t="s">
        <v>238</v>
      </c>
      <c r="D17" s="6" t="s">
        <v>248</v>
      </c>
      <c r="K17"/>
      <c r="Q17"/>
    </row>
    <row r="18" spans="1:17">
      <c r="A18" s="20">
        <v>44206</v>
      </c>
      <c r="B18" s="8" t="s">
        <v>263</v>
      </c>
      <c r="C18" s="8" t="s">
        <v>243</v>
      </c>
      <c r="D18" s="6" t="s">
        <v>240</v>
      </c>
      <c r="K18"/>
      <c r="Q18"/>
    </row>
    <row r="19" spans="1:17">
      <c r="A19" s="20">
        <v>44209</v>
      </c>
      <c r="B19" s="8" t="s">
        <v>264</v>
      </c>
      <c r="C19" s="8" t="s">
        <v>241</v>
      </c>
      <c r="D19" s="6" t="s">
        <v>257</v>
      </c>
      <c r="K19"/>
      <c r="Q19"/>
    </row>
    <row r="20" spans="1:17">
      <c r="A20" s="20">
        <v>44209</v>
      </c>
      <c r="B20" s="8" t="s">
        <v>265</v>
      </c>
      <c r="C20" s="8" t="s">
        <v>237</v>
      </c>
      <c r="D20" s="6" t="s">
        <v>240</v>
      </c>
      <c r="K20"/>
      <c r="Q20"/>
    </row>
    <row r="21" spans="1:17">
      <c r="A21" s="20">
        <v>44210</v>
      </c>
      <c r="B21" s="8" t="s">
        <v>266</v>
      </c>
      <c r="C21" s="8" t="s">
        <v>237</v>
      </c>
      <c r="D21" s="6" t="s">
        <v>240</v>
      </c>
      <c r="K21"/>
      <c r="Q21"/>
    </row>
    <row r="22" spans="1:17">
      <c r="A22" s="20">
        <v>44211</v>
      </c>
      <c r="B22" s="8" t="s">
        <v>267</v>
      </c>
      <c r="C22" s="8" t="s">
        <v>237</v>
      </c>
      <c r="D22" s="6" t="s">
        <v>248</v>
      </c>
      <c r="K22"/>
      <c r="Q22"/>
    </row>
    <row r="23" spans="1:17">
      <c r="A23" s="20">
        <v>44211</v>
      </c>
      <c r="B23" s="8" t="s">
        <v>268</v>
      </c>
      <c r="C23" s="8" t="s">
        <v>238</v>
      </c>
      <c r="D23" s="6" t="s">
        <v>269</v>
      </c>
      <c r="K23"/>
      <c r="Q23"/>
    </row>
    <row r="24" spans="1:17">
      <c r="A24" s="20">
        <v>44211</v>
      </c>
      <c r="B24" s="8" t="s">
        <v>270</v>
      </c>
      <c r="C24" s="8" t="s">
        <v>238</v>
      </c>
      <c r="D24" s="6" t="s">
        <v>269</v>
      </c>
      <c r="K24"/>
      <c r="Q24"/>
    </row>
    <row r="25" spans="1:17">
      <c r="A25" s="20">
        <v>44213</v>
      </c>
      <c r="B25" s="8" t="s">
        <v>271</v>
      </c>
      <c r="C25" s="8" t="s">
        <v>238</v>
      </c>
      <c r="D25" s="6" t="s">
        <v>248</v>
      </c>
      <c r="K25"/>
      <c r="Q25"/>
    </row>
    <row r="26" spans="1:17">
      <c r="A26" s="20">
        <v>44213</v>
      </c>
      <c r="B26" s="8" t="s">
        <v>272</v>
      </c>
      <c r="C26" s="8" t="s">
        <v>243</v>
      </c>
      <c r="D26" s="6" t="s">
        <v>248</v>
      </c>
      <c r="K26"/>
      <c r="Q26"/>
    </row>
    <row r="27" spans="1:17">
      <c r="A27" s="20">
        <v>44213</v>
      </c>
      <c r="B27" s="8" t="s">
        <v>273</v>
      </c>
      <c r="C27" s="8" t="s">
        <v>238</v>
      </c>
      <c r="D27" s="6" t="s">
        <v>248</v>
      </c>
      <c r="K27"/>
      <c r="Q27"/>
    </row>
    <row r="28" spans="1:17">
      <c r="A28" s="20">
        <v>44214</v>
      </c>
      <c r="B28" s="8" t="s">
        <v>274</v>
      </c>
      <c r="C28" s="8" t="s">
        <v>237</v>
      </c>
      <c r="D28" s="6" t="s">
        <v>246</v>
      </c>
      <c r="K28"/>
      <c r="Q28"/>
    </row>
    <row r="29" spans="1:17">
      <c r="A29" s="20">
        <v>44214</v>
      </c>
      <c r="B29" s="8" t="s">
        <v>275</v>
      </c>
      <c r="C29" s="8" t="s">
        <v>241</v>
      </c>
      <c r="D29" s="6" t="s">
        <v>246</v>
      </c>
      <c r="K29"/>
      <c r="Q29"/>
    </row>
    <row r="30" spans="1:17">
      <c r="A30" s="20">
        <v>44214</v>
      </c>
      <c r="B30" s="8" t="s">
        <v>276</v>
      </c>
      <c r="C30" s="8" t="s">
        <v>241</v>
      </c>
      <c r="D30" s="6" t="s">
        <v>269</v>
      </c>
      <c r="K30"/>
      <c r="Q30"/>
    </row>
    <row r="31" spans="1:17">
      <c r="A31" s="20">
        <v>44215</v>
      </c>
      <c r="B31" s="8" t="s">
        <v>277</v>
      </c>
      <c r="C31" s="8" t="s">
        <v>237</v>
      </c>
      <c r="D31" s="6" t="s">
        <v>257</v>
      </c>
      <c r="K31"/>
      <c r="Q31"/>
    </row>
    <row r="32" spans="1:17">
      <c r="A32" s="20">
        <v>44216</v>
      </c>
      <c r="B32" s="8" t="s">
        <v>278</v>
      </c>
      <c r="C32" s="8" t="s">
        <v>238</v>
      </c>
      <c r="D32" s="6" t="s">
        <v>240</v>
      </c>
      <c r="K32"/>
      <c r="Q32"/>
    </row>
    <row r="33" spans="1:17">
      <c r="A33" s="20">
        <v>44216</v>
      </c>
      <c r="B33" s="8" t="s">
        <v>279</v>
      </c>
      <c r="C33" s="8" t="s">
        <v>237</v>
      </c>
      <c r="D33" s="6" t="s">
        <v>269</v>
      </c>
      <c r="K33"/>
      <c r="Q33"/>
    </row>
    <row r="34" spans="1:17">
      <c r="A34" s="20">
        <v>44216</v>
      </c>
      <c r="B34" s="8" t="s">
        <v>280</v>
      </c>
      <c r="C34" s="8" t="s">
        <v>243</v>
      </c>
      <c r="D34" s="6" t="s">
        <v>269</v>
      </c>
      <c r="K34"/>
      <c r="Q34"/>
    </row>
    <row r="35" spans="1:17">
      <c r="A35" s="20">
        <v>44218</v>
      </c>
      <c r="B35" s="8" t="s">
        <v>281</v>
      </c>
      <c r="C35" s="8" t="s">
        <v>238</v>
      </c>
      <c r="D35" s="6" t="s">
        <v>246</v>
      </c>
      <c r="K35"/>
      <c r="Q35"/>
    </row>
    <row r="36" spans="1:17">
      <c r="A36" s="20">
        <v>44218</v>
      </c>
      <c r="B36" s="8" t="s">
        <v>282</v>
      </c>
      <c r="C36" s="8" t="s">
        <v>237</v>
      </c>
      <c r="D36" s="6" t="s">
        <v>248</v>
      </c>
      <c r="K36"/>
      <c r="Q36"/>
    </row>
    <row r="37" spans="1:17">
      <c r="A37" s="20">
        <v>44218</v>
      </c>
      <c r="B37" s="8" t="s">
        <v>283</v>
      </c>
      <c r="C37" s="8" t="s">
        <v>243</v>
      </c>
      <c r="D37" s="6" t="s">
        <v>257</v>
      </c>
      <c r="K37"/>
      <c r="Q37"/>
    </row>
    <row r="38" spans="1:17">
      <c r="A38" s="20">
        <v>44220</v>
      </c>
      <c r="B38" s="8" t="s">
        <v>284</v>
      </c>
      <c r="C38" s="8" t="s">
        <v>237</v>
      </c>
      <c r="D38" s="6" t="s">
        <v>257</v>
      </c>
      <c r="K38"/>
      <c r="Q38"/>
    </row>
    <row r="39" spans="1:17">
      <c r="A39" s="20">
        <v>44220</v>
      </c>
      <c r="B39" s="8" t="s">
        <v>285</v>
      </c>
      <c r="C39" s="8" t="s">
        <v>243</v>
      </c>
      <c r="D39" s="6" t="s">
        <v>257</v>
      </c>
      <c r="K39"/>
      <c r="Q39"/>
    </row>
    <row r="40" spans="1:17">
      <c r="A40" s="20">
        <v>44221</v>
      </c>
      <c r="B40" s="8" t="s">
        <v>286</v>
      </c>
      <c r="C40" s="8" t="s">
        <v>241</v>
      </c>
      <c r="D40" s="6" t="s">
        <v>246</v>
      </c>
      <c r="K40"/>
      <c r="Q40"/>
    </row>
    <row r="41" spans="1:17">
      <c r="A41" s="20">
        <v>44221</v>
      </c>
      <c r="B41" s="8" t="s">
        <v>287</v>
      </c>
      <c r="C41" s="8" t="s">
        <v>241</v>
      </c>
      <c r="D41" s="6" t="s">
        <v>248</v>
      </c>
      <c r="K41"/>
      <c r="Q41"/>
    </row>
    <row r="42" spans="1:17">
      <c r="A42" s="20">
        <v>44222</v>
      </c>
      <c r="B42" s="8" t="s">
        <v>288</v>
      </c>
      <c r="C42" s="8" t="s">
        <v>243</v>
      </c>
      <c r="D42" s="6" t="s">
        <v>246</v>
      </c>
      <c r="K42"/>
      <c r="Q42"/>
    </row>
    <row r="43" spans="1:17">
      <c r="A43" s="20">
        <v>44223</v>
      </c>
      <c r="B43" s="8" t="s">
        <v>289</v>
      </c>
      <c r="C43" s="8" t="s">
        <v>237</v>
      </c>
      <c r="D43" s="6" t="s">
        <v>246</v>
      </c>
      <c r="K43"/>
      <c r="Q43"/>
    </row>
    <row r="44" spans="1:17">
      <c r="A44" s="20">
        <v>44223</v>
      </c>
      <c r="B44" s="8" t="s">
        <v>290</v>
      </c>
      <c r="C44" s="8" t="s">
        <v>238</v>
      </c>
      <c r="D44" s="6" t="s">
        <v>257</v>
      </c>
      <c r="K44"/>
      <c r="Q44"/>
    </row>
    <row r="45" spans="1:17">
      <c r="A45" s="20">
        <v>44224</v>
      </c>
      <c r="B45" s="8" t="s">
        <v>291</v>
      </c>
      <c r="C45" s="8" t="s">
        <v>241</v>
      </c>
      <c r="D45" s="6" t="s">
        <v>246</v>
      </c>
      <c r="K45"/>
      <c r="Q45"/>
    </row>
    <row r="46" spans="1:17">
      <c r="A46" s="20">
        <v>44225</v>
      </c>
      <c r="B46" s="8" t="s">
        <v>292</v>
      </c>
      <c r="C46" s="8" t="s">
        <v>241</v>
      </c>
      <c r="D46" s="6" t="s">
        <v>240</v>
      </c>
      <c r="K46"/>
      <c r="Q46"/>
    </row>
    <row r="47" spans="1:17">
      <c r="A47" s="20">
        <v>44225</v>
      </c>
      <c r="B47" s="8" t="s">
        <v>293</v>
      </c>
      <c r="C47" s="8" t="s">
        <v>241</v>
      </c>
      <c r="D47" s="6" t="s">
        <v>269</v>
      </c>
      <c r="K47"/>
      <c r="Q47"/>
    </row>
    <row r="48" spans="1:17">
      <c r="A48" s="20">
        <v>44225</v>
      </c>
      <c r="B48" s="8" t="s">
        <v>294</v>
      </c>
      <c r="C48" s="8" t="s">
        <v>241</v>
      </c>
      <c r="D48" s="6" t="s">
        <v>269</v>
      </c>
      <c r="K48"/>
      <c r="Q48"/>
    </row>
    <row r="49" spans="1:17">
      <c r="A49" s="20">
        <v>44225</v>
      </c>
      <c r="B49" s="8" t="s">
        <v>295</v>
      </c>
      <c r="C49" s="8" t="s">
        <v>237</v>
      </c>
      <c r="D49" s="6" t="s">
        <v>248</v>
      </c>
      <c r="K49"/>
      <c r="Q49"/>
    </row>
    <row r="50" spans="1:17">
      <c r="A50" s="20">
        <v>44227</v>
      </c>
      <c r="B50" s="8" t="s">
        <v>296</v>
      </c>
      <c r="C50" s="8" t="s">
        <v>237</v>
      </c>
      <c r="D50" s="6" t="s">
        <v>269</v>
      </c>
      <c r="Q50"/>
    </row>
    <row r="51" spans="1:17">
      <c r="A51" s="20"/>
      <c r="D51" s="6"/>
      <c r="Q51"/>
    </row>
    <row r="52" spans="1:17">
      <c r="A52" s="20"/>
      <c r="D52" s="6"/>
      <c r="Q52"/>
    </row>
    <row r="53" spans="1:17">
      <c r="A53" s="20"/>
      <c r="D53" s="6"/>
      <c r="Q53"/>
    </row>
    <row r="54" spans="1:17">
      <c r="A54" s="20"/>
      <c r="D54" s="6"/>
      <c r="Q54"/>
    </row>
    <row r="55" spans="1:17">
      <c r="A55" s="20"/>
      <c r="D55" s="6"/>
      <c r="Q55"/>
    </row>
    <row r="56" spans="1:17">
      <c r="A56" s="20"/>
      <c r="D56" s="6"/>
      <c r="Q56"/>
    </row>
    <row r="57" spans="1:17">
      <c r="A57" s="20"/>
      <c r="D57" s="6"/>
      <c r="Q57"/>
    </row>
    <row r="58" spans="1:17">
      <c r="A58" s="20"/>
      <c r="D58" s="6"/>
      <c r="Q58"/>
    </row>
    <row r="59" spans="1:17">
      <c r="A59" s="20"/>
      <c r="D59" s="6"/>
      <c r="Q59"/>
    </row>
    <row r="60" spans="1:17">
      <c r="A60" s="20"/>
      <c r="D60" s="6"/>
      <c r="Q60"/>
    </row>
    <row r="61" spans="1:17">
      <c r="A61" s="20"/>
      <c r="D61" s="6"/>
      <c r="Q61"/>
    </row>
    <row r="62" spans="1:17">
      <c r="A62" s="20"/>
      <c r="D62" s="6"/>
      <c r="Q62"/>
    </row>
    <row r="63" spans="1:17">
      <c r="A63" s="20"/>
      <c r="D63" s="6"/>
      <c r="Q63"/>
    </row>
    <row r="64" spans="1:17">
      <c r="A64" s="20"/>
      <c r="D64" s="6"/>
      <c r="Q64"/>
    </row>
    <row r="65" spans="1:17">
      <c r="A65" s="20"/>
      <c r="D65" s="6"/>
      <c r="Q65"/>
    </row>
    <row r="66" spans="1:17">
      <c r="A66" s="20"/>
      <c r="D66" s="6"/>
      <c r="Q66"/>
    </row>
    <row r="67" spans="1:17">
      <c r="A67" s="20"/>
      <c r="D67" s="6"/>
      <c r="Q67"/>
    </row>
    <row r="68" spans="1:17">
      <c r="A68" s="20"/>
      <c r="D68" s="6"/>
      <c r="Q68"/>
    </row>
    <row r="69" spans="1:17">
      <c r="A69" s="20"/>
      <c r="D69" s="6"/>
      <c r="Q69"/>
    </row>
    <row r="70" spans="1:17">
      <c r="A70" s="20"/>
      <c r="D70" s="6"/>
      <c r="Q70"/>
    </row>
    <row r="71" spans="1:17">
      <c r="A71" s="20"/>
      <c r="D71" s="6"/>
      <c r="Q71"/>
    </row>
    <row r="72" spans="1:17">
      <c r="A72" s="20"/>
      <c r="D72" s="6"/>
      <c r="Q72"/>
    </row>
    <row r="73" spans="1:17">
      <c r="A73" s="20"/>
      <c r="D73" s="6"/>
      <c r="Q73"/>
    </row>
    <row r="74" spans="1:17">
      <c r="A74" s="20"/>
      <c r="D74" s="6"/>
      <c r="Q74"/>
    </row>
    <row r="75" spans="1:17">
      <c r="A75" s="20"/>
      <c r="D75" s="6"/>
      <c r="Q75"/>
    </row>
    <row r="76" spans="1:17">
      <c r="A76" s="20"/>
      <c r="D76" s="6"/>
      <c r="Q76"/>
    </row>
    <row r="77" spans="1:17">
      <c r="A77" s="20"/>
      <c r="D77" s="6"/>
      <c r="Q77"/>
    </row>
    <row r="78" spans="1:17">
      <c r="A78" s="20"/>
      <c r="D78" s="6"/>
      <c r="Q78"/>
    </row>
    <row r="79" spans="1:17">
      <c r="A79" s="20"/>
      <c r="D79" s="6"/>
      <c r="Q79"/>
    </row>
    <row r="80" spans="1:17">
      <c r="A80" s="20"/>
      <c r="D80" s="6"/>
      <c r="Q80"/>
    </row>
    <row r="81" spans="1:17">
      <c r="A81" s="20"/>
      <c r="D81" s="6"/>
      <c r="Q81"/>
    </row>
    <row r="82" spans="1:17">
      <c r="A82" s="20"/>
      <c r="D82" s="6"/>
      <c r="Q82"/>
    </row>
    <row r="83" spans="1:17">
      <c r="A83" s="20"/>
      <c r="D83" s="6"/>
      <c r="Q83"/>
    </row>
    <row r="84" spans="1:17">
      <c r="A84" s="20"/>
      <c r="D84" s="6"/>
      <c r="Q84"/>
    </row>
    <row r="85" spans="1:17">
      <c r="A85" s="20"/>
      <c r="D85" s="6"/>
      <c r="Q85"/>
    </row>
    <row r="86" spans="1:17">
      <c r="A86" s="20"/>
      <c r="D86" s="6"/>
      <c r="Q86"/>
    </row>
    <row r="87" spans="1:17">
      <c r="A87" s="20"/>
      <c r="D87" s="6"/>
      <c r="Q87"/>
    </row>
    <row r="88" spans="1:17">
      <c r="A88" s="20"/>
      <c r="D88" s="6"/>
      <c r="Q88"/>
    </row>
    <row r="89" spans="1:17">
      <c r="A89" s="20"/>
      <c r="D89" s="6"/>
      <c r="Q89"/>
    </row>
    <row r="90" spans="1:17">
      <c r="A90" s="20"/>
      <c r="D90" s="6"/>
      <c r="Q90"/>
    </row>
    <row r="91" spans="1:17">
      <c r="A91" s="20"/>
      <c r="D91" s="6"/>
      <c r="Q91"/>
    </row>
    <row r="92" spans="1:17">
      <c r="A92" s="20"/>
      <c r="D92" s="6"/>
      <c r="Q92"/>
    </row>
    <row r="93" spans="1:17">
      <c r="A93" s="20"/>
      <c r="D93" s="6"/>
      <c r="Q93"/>
    </row>
    <row r="94" spans="1:17">
      <c r="A94" s="20"/>
      <c r="D94" s="6"/>
      <c r="Q94"/>
    </row>
    <row r="95" spans="1:17">
      <c r="A95" s="20"/>
      <c r="D95" s="6"/>
      <c r="Q95"/>
    </row>
    <row r="96" spans="1:17">
      <c r="A96" s="20"/>
      <c r="D96" s="6"/>
      <c r="Q96"/>
    </row>
    <row r="97" spans="1:17">
      <c r="A97" s="20"/>
      <c r="D97" s="6"/>
      <c r="Q97"/>
    </row>
    <row r="98" spans="1:17">
      <c r="A98" s="20"/>
      <c r="D98" s="6"/>
      <c r="Q98"/>
    </row>
    <row r="99" spans="1:17">
      <c r="A99" s="20"/>
      <c r="D99" s="6"/>
      <c r="Q99"/>
    </row>
    <row r="100" spans="1:17">
      <c r="A100" s="20"/>
      <c r="D100" s="6"/>
      <c r="Q100"/>
    </row>
    <row r="101" spans="1:17">
      <c r="A101" s="20"/>
      <c r="D101" s="6"/>
      <c r="Q101"/>
    </row>
    <row r="102" spans="1:17">
      <c r="A102" s="20"/>
      <c r="D102" s="6"/>
      <c r="Q102"/>
    </row>
    <row r="103" spans="1:17">
      <c r="A103" s="20"/>
      <c r="D103" s="6"/>
      <c r="Q103"/>
    </row>
    <row r="104" spans="1:17">
      <c r="A104" s="20"/>
      <c r="D104" s="6"/>
      <c r="Q104"/>
    </row>
    <row r="105" spans="1:17">
      <c r="A105" s="20"/>
      <c r="D105" s="6"/>
      <c r="Q105"/>
    </row>
    <row r="106" spans="1:17">
      <c r="A106" s="20"/>
      <c r="D106" s="6"/>
      <c r="Q106"/>
    </row>
    <row r="107" spans="1:17">
      <c r="A107" s="20"/>
      <c r="D107" s="6"/>
      <c r="Q107"/>
    </row>
    <row r="108" spans="1:17">
      <c r="A108" s="20"/>
      <c r="D108" s="6"/>
      <c r="Q108"/>
    </row>
    <row r="109" spans="1:17">
      <c r="A109" s="20"/>
      <c r="D109" s="6"/>
      <c r="Q109"/>
    </row>
    <row r="110" spans="1:17">
      <c r="A110" s="20"/>
      <c r="D110" s="6"/>
      <c r="Q110"/>
    </row>
    <row r="111" spans="1:17">
      <c r="A111" s="20"/>
      <c r="D111" s="6"/>
      <c r="Q111"/>
    </row>
    <row r="112" spans="1:17">
      <c r="A112" s="20"/>
      <c r="D112" s="6"/>
      <c r="Q112"/>
    </row>
    <row r="113" spans="1:17">
      <c r="A113" s="20"/>
      <c r="D113" s="6"/>
      <c r="Q113"/>
    </row>
    <row r="114" spans="1:17">
      <c r="A114" s="20"/>
      <c r="D114" s="6"/>
      <c r="Q114"/>
    </row>
    <row r="115" spans="1:17">
      <c r="A115" s="20"/>
      <c r="D115" s="6"/>
      <c r="Q115"/>
    </row>
    <row r="116" spans="1:17">
      <c r="A116" s="20"/>
      <c r="D116" s="6"/>
      <c r="Q116"/>
    </row>
    <row r="117" spans="1:17">
      <c r="A117" s="20"/>
      <c r="D117" s="6"/>
      <c r="Q117"/>
    </row>
    <row r="118" spans="1:17">
      <c r="A118" s="20"/>
      <c r="D118" s="6"/>
      <c r="Q118"/>
    </row>
    <row r="119" spans="1:17">
      <c r="A119" s="20"/>
      <c r="D119" s="6"/>
      <c r="Q119"/>
    </row>
    <row r="120" spans="1:17">
      <c r="A120" s="20"/>
      <c r="D120" s="6"/>
      <c r="Q120"/>
    </row>
    <row r="121" spans="1:17">
      <c r="A121" s="20"/>
      <c r="D121" s="6"/>
      <c r="Q121"/>
    </row>
    <row r="122" spans="1:17">
      <c r="A122" s="20"/>
      <c r="D122" s="6"/>
      <c r="Q122"/>
    </row>
    <row r="123" spans="1:17">
      <c r="A123" s="20"/>
      <c r="D123" s="6"/>
      <c r="Q123"/>
    </row>
    <row r="124" spans="1:17">
      <c r="A124" s="20"/>
      <c r="D124" s="6"/>
      <c r="Q124"/>
    </row>
    <row r="125" spans="1:17">
      <c r="A125" s="20"/>
      <c r="D125" s="6"/>
      <c r="Q125"/>
    </row>
    <row r="126" spans="1:17">
      <c r="A126" s="20"/>
      <c r="D126" s="6"/>
      <c r="Q126"/>
    </row>
    <row r="127" spans="1:17">
      <c r="A127" s="20"/>
      <c r="D127" s="6"/>
      <c r="Q127"/>
    </row>
    <row r="128" spans="1:17">
      <c r="A128" s="20"/>
      <c r="D128" s="6"/>
      <c r="Q128"/>
    </row>
    <row r="129" spans="1:17">
      <c r="A129" s="20"/>
      <c r="D129" s="6"/>
      <c r="Q129"/>
    </row>
    <row r="130" spans="1:17">
      <c r="A130" s="20"/>
      <c r="D130" s="6"/>
      <c r="Q130"/>
    </row>
    <row r="131" spans="1:17">
      <c r="A131" s="20"/>
      <c r="D131" s="6"/>
      <c r="Q131"/>
    </row>
    <row r="132" spans="1:17">
      <c r="A132" s="20"/>
      <c r="D132" s="6"/>
      <c r="Q132"/>
    </row>
    <row r="133" spans="1:17">
      <c r="A133" s="20"/>
      <c r="D133" s="6"/>
      <c r="Q133"/>
    </row>
    <row r="134" spans="1:17">
      <c r="A134" s="20"/>
      <c r="D134" s="6"/>
      <c r="Q134"/>
    </row>
    <row r="135" spans="1:17">
      <c r="A135" s="20"/>
      <c r="D135" s="6"/>
      <c r="Q135"/>
    </row>
    <row r="136" spans="1:17">
      <c r="A136" s="20"/>
      <c r="D136" s="6"/>
      <c r="Q136"/>
    </row>
    <row r="137" spans="1:17">
      <c r="A137" s="20"/>
      <c r="D137" s="6"/>
      <c r="Q137"/>
    </row>
    <row r="138" spans="1:17">
      <c r="A138" s="20"/>
      <c r="D138" s="6"/>
      <c r="Q138"/>
    </row>
    <row r="139" spans="1:17">
      <c r="A139" s="20"/>
      <c r="D139" s="6"/>
      <c r="Q139"/>
    </row>
    <row r="140" spans="1:17">
      <c r="A140" s="20"/>
      <c r="D140" s="6"/>
      <c r="Q140"/>
    </row>
    <row r="141" spans="1:17">
      <c r="A141" s="20"/>
      <c r="D141" s="6"/>
      <c r="Q141"/>
    </row>
    <row r="142" spans="1:17">
      <c r="A142" s="20"/>
      <c r="D142" s="6"/>
      <c r="Q142"/>
    </row>
    <row r="143" spans="1:17">
      <c r="A143" s="20"/>
      <c r="D143" s="6"/>
      <c r="Q143"/>
    </row>
    <row r="144" spans="1:17">
      <c r="A144" s="20"/>
      <c r="D144" s="6"/>
      <c r="Q144"/>
    </row>
    <row r="145" spans="1:17">
      <c r="A145" s="20"/>
      <c r="D145" s="6"/>
      <c r="Q145"/>
    </row>
    <row r="146" spans="1:17">
      <c r="A146" s="20"/>
      <c r="D146" s="6"/>
      <c r="Q146"/>
    </row>
    <row r="147" spans="1:17">
      <c r="A147" s="20"/>
      <c r="D147" s="6"/>
      <c r="Q147"/>
    </row>
    <row r="148" spans="1:17">
      <c r="A148" s="20"/>
      <c r="D148" s="6"/>
      <c r="Q148"/>
    </row>
    <row r="149" spans="1:17">
      <c r="A149" s="20"/>
      <c r="D149" s="6"/>
      <c r="Q149"/>
    </row>
    <row r="150" spans="1:17">
      <c r="A150" s="20"/>
      <c r="D150" s="6"/>
      <c r="Q150"/>
    </row>
    <row r="151" spans="1:17">
      <c r="A151" s="20"/>
      <c r="D151" s="6"/>
      <c r="Q151"/>
    </row>
    <row r="152" spans="1:17">
      <c r="A152" s="20"/>
      <c r="D152" s="6"/>
      <c r="Q152"/>
    </row>
    <row r="153" spans="1:17">
      <c r="A153" s="20"/>
      <c r="D153" s="6"/>
      <c r="Q153"/>
    </row>
    <row r="154" spans="1:17">
      <c r="A154" s="20"/>
      <c r="D154" s="6"/>
      <c r="Q154"/>
    </row>
    <row r="155" spans="1:17">
      <c r="A155" s="20"/>
      <c r="D155" s="6"/>
      <c r="Q155"/>
    </row>
    <row r="156" spans="1:17">
      <c r="A156" s="20"/>
      <c r="D156" s="6"/>
      <c r="Q156"/>
    </row>
    <row r="157" spans="1:17">
      <c r="A157" s="20"/>
      <c r="D157" s="6"/>
      <c r="Q157"/>
    </row>
    <row r="158" spans="1:17">
      <c r="A158" s="20"/>
      <c r="D158" s="6"/>
      <c r="Q158"/>
    </row>
    <row r="159" spans="1:17">
      <c r="A159" s="20"/>
      <c r="D159" s="6"/>
      <c r="Q159"/>
    </row>
    <row r="160" spans="1:17">
      <c r="A160" s="20"/>
      <c r="D160" s="6"/>
      <c r="Q160"/>
    </row>
    <row r="161" spans="1:17">
      <c r="A161" s="20"/>
      <c r="D161" s="6"/>
      <c r="Q161"/>
    </row>
    <row r="162" spans="1:17">
      <c r="A162" s="20"/>
      <c r="D162" s="6"/>
      <c r="Q162"/>
    </row>
    <row r="163" spans="1:17">
      <c r="A163" s="20"/>
      <c r="D163" s="6"/>
      <c r="Q163"/>
    </row>
    <row r="164" spans="1:17">
      <c r="A164" s="20"/>
      <c r="D164" s="6"/>
      <c r="Q164"/>
    </row>
    <row r="165" spans="1:17">
      <c r="A165" s="20"/>
      <c r="D165" s="6"/>
      <c r="Q165"/>
    </row>
    <row r="166" spans="1:17">
      <c r="A166" s="20"/>
      <c r="D166" s="6"/>
      <c r="Q166"/>
    </row>
    <row r="167" spans="1:17">
      <c r="A167" s="20"/>
      <c r="D167" s="6"/>
      <c r="Q167"/>
    </row>
    <row r="168" spans="1:17">
      <c r="A168" s="20"/>
      <c r="D168" s="6"/>
      <c r="Q168"/>
    </row>
    <row r="169" spans="1:17">
      <c r="A169" s="20"/>
      <c r="D169" s="6"/>
      <c r="Q169"/>
    </row>
    <row r="170" spans="1:17">
      <c r="A170" s="20"/>
      <c r="D170" s="6"/>
      <c r="Q170"/>
    </row>
    <row r="171" spans="1:17">
      <c r="A171" s="20"/>
      <c r="D171" s="6"/>
      <c r="Q171"/>
    </row>
    <row r="172" spans="1:17">
      <c r="A172" s="20"/>
      <c r="D172" s="6"/>
      <c r="Q172"/>
    </row>
    <row r="173" spans="1:17">
      <c r="A173" s="20"/>
      <c r="D173" s="6"/>
      <c r="Q173"/>
    </row>
    <row r="174" spans="1:17">
      <c r="A174" s="20"/>
      <c r="D174" s="6"/>
      <c r="Q174"/>
    </row>
    <row r="175" spans="1:17">
      <c r="A175" s="20"/>
      <c r="D175" s="6"/>
      <c r="Q175"/>
    </row>
    <row r="176" spans="1:17">
      <c r="A176" s="20"/>
      <c r="D176" s="6"/>
      <c r="Q176"/>
    </row>
    <row r="177" spans="1:17">
      <c r="A177" s="20"/>
      <c r="D177" s="6"/>
      <c r="Q177"/>
    </row>
    <row r="178" spans="1:17">
      <c r="A178" s="20"/>
      <c r="D178" s="6"/>
      <c r="Q178"/>
    </row>
    <row r="179" spans="1:17">
      <c r="A179" s="20"/>
      <c r="D179" s="6"/>
      <c r="Q179"/>
    </row>
    <row r="180" spans="1:17">
      <c r="A180" s="20"/>
      <c r="D180" s="6"/>
      <c r="Q180"/>
    </row>
    <row r="181" spans="1:17">
      <c r="A181" s="20"/>
      <c r="D181" s="6"/>
      <c r="Q181"/>
    </row>
    <row r="182" spans="1:17">
      <c r="A182" s="20"/>
      <c r="D182" s="6"/>
      <c r="Q182"/>
    </row>
    <row r="183" spans="1:17">
      <c r="A183" s="20"/>
      <c r="D183" s="6"/>
      <c r="Q183"/>
    </row>
    <row r="184" spans="1:17">
      <c r="A184" s="20"/>
      <c r="D184" s="6"/>
      <c r="Q184"/>
    </row>
    <row r="185" spans="1:17">
      <c r="A185" s="20"/>
      <c r="D185" s="6"/>
      <c r="Q185"/>
    </row>
    <row r="186" spans="1:17">
      <c r="A186" s="20"/>
      <c r="D186" s="6"/>
      <c r="Q186"/>
    </row>
    <row r="187" spans="1:17">
      <c r="A187" s="20"/>
      <c r="D187" s="6"/>
      <c r="Q187"/>
    </row>
    <row r="188" spans="1:17">
      <c r="A188" s="20"/>
      <c r="D188" s="6"/>
      <c r="Q188"/>
    </row>
    <row r="189" spans="1:17">
      <c r="A189" s="20"/>
      <c r="D189" s="6"/>
      <c r="Q189"/>
    </row>
    <row r="190" spans="1:17">
      <c r="A190" s="20"/>
      <c r="D190" s="6"/>
      <c r="Q190"/>
    </row>
    <row r="191" spans="1:17">
      <c r="A191" s="20"/>
      <c r="D191" s="6"/>
      <c r="Q191"/>
    </row>
    <row r="192" spans="1:17">
      <c r="A192" s="20"/>
      <c r="D192" s="6"/>
      <c r="Q192"/>
    </row>
    <row r="193" spans="1:17">
      <c r="A193" s="20"/>
      <c r="D193" s="6"/>
      <c r="Q193"/>
    </row>
    <row r="194" spans="1:17">
      <c r="A194" s="20"/>
      <c r="D194" s="6"/>
      <c r="Q194"/>
    </row>
    <row r="195" spans="1:17">
      <c r="A195" s="20"/>
      <c r="D195" s="6"/>
      <c r="Q195"/>
    </row>
    <row r="196" spans="1:17">
      <c r="A196" s="20"/>
      <c r="D196" s="6"/>
      <c r="Q196"/>
    </row>
    <row r="197" spans="1:17">
      <c r="A197" s="20"/>
      <c r="D197" s="6"/>
      <c r="Q197"/>
    </row>
    <row r="198" spans="1:17">
      <c r="A198" s="20"/>
      <c r="D198" s="6"/>
      <c r="Q198"/>
    </row>
    <row r="199" spans="1:17">
      <c r="A199" s="20"/>
      <c r="D199" s="6"/>
      <c r="Q199"/>
    </row>
    <row r="200" spans="1:17">
      <c r="A200" s="20"/>
      <c r="D200" s="6"/>
      <c r="Q200"/>
    </row>
    <row r="201" spans="1:17">
      <c r="A201" s="20"/>
      <c r="D201" s="6"/>
      <c r="Q201"/>
    </row>
    <row r="202" spans="1:17">
      <c r="A202" s="20"/>
      <c r="D202" s="6"/>
      <c r="Q202"/>
    </row>
    <row r="203" spans="1:17">
      <c r="A203" s="20"/>
      <c r="D203" s="6"/>
      <c r="Q203"/>
    </row>
    <row r="204" spans="1:17">
      <c r="A204" s="20"/>
      <c r="D204" s="6"/>
      <c r="Q204"/>
    </row>
    <row r="205" spans="1:17">
      <c r="A205" s="20"/>
      <c r="D205" s="6"/>
      <c r="Q205"/>
    </row>
    <row r="206" spans="1:17">
      <c r="A206" s="20"/>
      <c r="D206" s="6"/>
      <c r="Q206"/>
    </row>
    <row r="207" spans="1:17">
      <c r="A207" s="20"/>
      <c r="D207" s="6"/>
      <c r="Q207"/>
    </row>
    <row r="208" spans="1:17">
      <c r="A208" s="20"/>
      <c r="D208" s="6"/>
      <c r="Q208"/>
    </row>
    <row r="209" spans="1:17">
      <c r="A209" s="20"/>
      <c r="D209" s="6"/>
      <c r="Q209"/>
    </row>
    <row r="210" spans="1:17">
      <c r="A210" s="20"/>
      <c r="D210" s="6"/>
      <c r="Q210"/>
    </row>
    <row r="211" spans="1:17">
      <c r="A211" s="20"/>
      <c r="D211" s="6"/>
      <c r="Q211"/>
    </row>
    <row r="212" spans="1:17">
      <c r="A212" s="20"/>
      <c r="D212" s="6"/>
      <c r="Q212"/>
    </row>
    <row r="213" spans="1:17">
      <c r="A213" s="20"/>
      <c r="D213" s="6"/>
      <c r="Q213"/>
    </row>
    <row r="214" spans="1:17">
      <c r="A214" s="20"/>
      <c r="D214" s="6"/>
      <c r="Q214"/>
    </row>
    <row r="215" spans="1:17">
      <c r="A215" s="20"/>
      <c r="D215" s="6"/>
      <c r="Q215"/>
    </row>
    <row r="216" spans="1:17">
      <c r="A216" s="20"/>
      <c r="D216" s="6"/>
      <c r="Q216"/>
    </row>
    <row r="217" spans="1:17">
      <c r="A217" s="20"/>
      <c r="D217" s="6"/>
      <c r="Q217"/>
    </row>
    <row r="218" spans="1:17">
      <c r="A218" s="20"/>
      <c r="D218" s="6"/>
      <c r="Q218"/>
    </row>
    <row r="219" spans="1:17">
      <c r="A219" s="20"/>
      <c r="D219" s="6"/>
      <c r="Q219"/>
    </row>
    <row r="220" spans="1:17">
      <c r="A220" s="20"/>
      <c r="D220" s="6"/>
      <c r="Q220"/>
    </row>
    <row r="221" spans="1:17">
      <c r="A221" s="20"/>
      <c r="D221" s="6"/>
      <c r="Q221"/>
    </row>
    <row r="222" spans="1:17">
      <c r="A222" s="20"/>
      <c r="D222" s="6"/>
      <c r="Q222"/>
    </row>
    <row r="223" spans="1:17">
      <c r="A223" s="20"/>
      <c r="D223" s="6"/>
      <c r="Q223"/>
    </row>
    <row r="224" spans="1:17">
      <c r="A224" s="20"/>
      <c r="D224" s="6"/>
      <c r="Q224"/>
    </row>
    <row r="225" spans="1:17">
      <c r="A225" s="20"/>
      <c r="D225" s="6"/>
      <c r="Q225"/>
    </row>
    <row r="226" spans="1:17">
      <c r="A226" s="20"/>
      <c r="D226" s="6"/>
      <c r="Q226"/>
    </row>
    <row r="227" spans="1:17">
      <c r="A227" s="20"/>
      <c r="D227" s="6"/>
      <c r="Q227"/>
    </row>
    <row r="228" spans="1:17">
      <c r="A228" s="20"/>
      <c r="D228" s="6"/>
      <c r="Q228"/>
    </row>
    <row r="229" spans="1:17">
      <c r="A229" s="20"/>
      <c r="D229" s="6"/>
      <c r="Q229"/>
    </row>
    <row r="230" spans="1:17">
      <c r="A230" s="20"/>
      <c r="D230" s="6"/>
      <c r="Q230"/>
    </row>
    <row r="231" spans="1:17">
      <c r="A231" s="20"/>
      <c r="D231" s="6"/>
      <c r="Q231"/>
    </row>
    <row r="232" spans="1:17">
      <c r="A232" s="20"/>
      <c r="D232" s="6"/>
      <c r="Q232"/>
    </row>
    <row r="233" spans="1:17">
      <c r="A233" s="20"/>
      <c r="D233" s="6"/>
      <c r="Q233"/>
    </row>
    <row r="234" spans="1:17">
      <c r="A234" s="20"/>
      <c r="D234" s="6"/>
      <c r="Q234"/>
    </row>
    <row r="235" spans="1:17">
      <c r="A235" s="20"/>
      <c r="D235" s="6"/>
      <c r="Q235"/>
    </row>
    <row r="236" spans="1:17">
      <c r="A236" s="20"/>
      <c r="D236" s="6"/>
      <c r="Q236"/>
    </row>
    <row r="237" spans="1:17">
      <c r="A237" s="20"/>
      <c r="D237" s="6"/>
      <c r="Q237"/>
    </row>
    <row r="238" spans="1:17">
      <c r="A238" s="20"/>
      <c r="D238" s="6"/>
      <c r="Q238"/>
    </row>
    <row r="239" spans="1:17">
      <c r="A239" s="20"/>
      <c r="D239" s="6"/>
      <c r="Q239"/>
    </row>
    <row r="240" spans="1:17">
      <c r="A240" s="20"/>
      <c r="D240" s="6"/>
      <c r="Q240"/>
    </row>
    <row r="241" spans="1:17">
      <c r="A241" s="20"/>
      <c r="D241" s="6"/>
      <c r="Q241"/>
    </row>
    <row r="242" spans="1:17">
      <c r="A242" s="20"/>
      <c r="D242" s="6"/>
      <c r="Q242"/>
    </row>
    <row r="243" spans="1:17">
      <c r="A243" s="20"/>
      <c r="D243" s="6"/>
      <c r="Q243"/>
    </row>
    <row r="244" spans="1:17">
      <c r="A244" s="20"/>
      <c r="D244" s="6"/>
      <c r="Q244"/>
    </row>
    <row r="245" spans="1:17">
      <c r="A245" s="20"/>
      <c r="D245" s="6"/>
      <c r="Q245"/>
    </row>
    <row r="246" spans="1:17">
      <c r="A246" s="20"/>
      <c r="D246" s="6"/>
      <c r="Q246"/>
    </row>
    <row r="247" spans="1:17">
      <c r="A247" s="20"/>
      <c r="D247" s="6"/>
      <c r="Q247"/>
    </row>
    <row r="248" spans="1:17">
      <c r="A248" s="20"/>
      <c r="D248" s="6"/>
      <c r="Q248"/>
    </row>
    <row r="249" spans="1:17">
      <c r="A249" s="20"/>
      <c r="D249" s="6"/>
      <c r="Q249"/>
    </row>
    <row r="250" spans="1:17">
      <c r="A250" s="20"/>
      <c r="D250" s="6"/>
      <c r="Q250"/>
    </row>
    <row r="251" spans="1:17">
      <c r="A251" s="20"/>
      <c r="D251" s="6"/>
      <c r="Q251"/>
    </row>
    <row r="252" spans="1:17">
      <c r="A252" s="20"/>
      <c r="D252" s="6"/>
      <c r="Q252"/>
    </row>
    <row r="253" spans="1:17">
      <c r="A253" s="20"/>
      <c r="D253" s="6"/>
      <c r="Q253"/>
    </row>
    <row r="254" spans="1:17">
      <c r="A254" s="20"/>
      <c r="D254" s="6"/>
      <c r="Q254"/>
    </row>
    <row r="255" spans="1:17">
      <c r="A255" s="20"/>
      <c r="D255" s="6"/>
      <c r="Q255"/>
    </row>
    <row r="256" spans="1:17">
      <c r="A256" s="20"/>
      <c r="D256" s="6"/>
      <c r="Q256"/>
    </row>
    <row r="257" spans="1:17">
      <c r="A257" s="20"/>
      <c r="D257" s="6"/>
      <c r="Q257"/>
    </row>
    <row r="258" spans="1:17">
      <c r="A258" s="20"/>
      <c r="D258" s="6"/>
      <c r="Q258"/>
    </row>
    <row r="259" spans="1:17">
      <c r="A259" s="20"/>
      <c r="D259" s="6"/>
      <c r="Q259"/>
    </row>
    <row r="260" spans="1:17">
      <c r="A260" s="20"/>
      <c r="D260" s="6"/>
      <c r="Q260"/>
    </row>
    <row r="261" spans="1:17">
      <c r="A261" s="20"/>
      <c r="D261" s="6"/>
      <c r="Q261"/>
    </row>
    <row r="262" spans="1:17">
      <c r="A262" s="20"/>
      <c r="D262" s="6"/>
      <c r="Q262"/>
    </row>
    <row r="263" spans="1:17">
      <c r="A263" s="20"/>
      <c r="D263" s="6"/>
      <c r="Q263"/>
    </row>
    <row r="264" spans="1:17">
      <c r="A264" s="20"/>
      <c r="D264" s="6"/>
      <c r="Q264"/>
    </row>
    <row r="265" spans="1:17">
      <c r="A265" s="20"/>
      <c r="D265" s="6"/>
      <c r="Q265"/>
    </row>
    <row r="266" spans="1:17">
      <c r="A266" s="20"/>
      <c r="D266" s="6"/>
      <c r="Q266"/>
    </row>
    <row r="267" spans="1:17">
      <c r="A267" s="20"/>
      <c r="D267" s="6"/>
      <c r="Q267"/>
    </row>
    <row r="268" spans="1:17">
      <c r="A268" s="20"/>
      <c r="D268" s="6"/>
      <c r="Q268"/>
    </row>
    <row r="269" spans="1:17">
      <c r="A269" s="20"/>
      <c r="D269" s="6"/>
      <c r="Q269"/>
    </row>
    <row r="270" spans="1:17">
      <c r="A270" s="20"/>
      <c r="D270" s="6"/>
      <c r="Q270"/>
    </row>
    <row r="271" spans="1:17">
      <c r="A271" s="20"/>
      <c r="D271" s="6"/>
      <c r="Q271"/>
    </row>
    <row r="272" spans="1:17">
      <c r="A272" s="20"/>
      <c r="D272" s="6"/>
      <c r="Q272"/>
    </row>
    <row r="273" spans="1:17">
      <c r="A273" s="20"/>
      <c r="D273" s="6"/>
      <c r="Q273"/>
    </row>
    <row r="274" spans="1:17">
      <c r="A274" s="20"/>
      <c r="D274" s="6"/>
      <c r="Q274"/>
    </row>
    <row r="275" spans="1:17">
      <c r="A275" s="20"/>
      <c r="D275" s="6"/>
      <c r="Q275"/>
    </row>
    <row r="276" spans="1:17">
      <c r="A276" s="20"/>
      <c r="D276" s="6"/>
      <c r="Q276"/>
    </row>
    <row r="277" spans="1:17">
      <c r="A277" s="20"/>
      <c r="D277" s="6"/>
      <c r="Q277"/>
    </row>
    <row r="278" spans="1:17">
      <c r="A278" s="20"/>
      <c r="D278" s="6"/>
      <c r="Q278"/>
    </row>
    <row r="279" spans="1:17">
      <c r="A279" s="20"/>
      <c r="D279" s="6"/>
      <c r="Q279"/>
    </row>
    <row r="280" spans="1:17">
      <c r="A280" s="20"/>
      <c r="D280" s="6"/>
      <c r="Q280"/>
    </row>
    <row r="281" spans="1:17">
      <c r="A281" s="20"/>
      <c r="D281" s="6"/>
      <c r="Q281"/>
    </row>
    <row r="282" spans="1:17">
      <c r="A282" s="20"/>
      <c r="D282" s="6"/>
      <c r="Q282"/>
    </row>
    <row r="283" spans="1:17">
      <c r="A283" s="20"/>
      <c r="D283" s="6"/>
      <c r="Q283"/>
    </row>
    <row r="284" spans="1:17">
      <c r="A284" s="20"/>
      <c r="D284" s="6"/>
      <c r="Q284"/>
    </row>
    <row r="285" spans="1:17">
      <c r="A285" s="20"/>
      <c r="D285" s="6"/>
      <c r="Q285"/>
    </row>
    <row r="286" spans="1:17">
      <c r="A286" s="20"/>
      <c r="D286" s="6"/>
      <c r="Q286"/>
    </row>
    <row r="287" spans="1:17">
      <c r="A287" s="20"/>
      <c r="D287" s="6"/>
      <c r="Q287"/>
    </row>
    <row r="288" spans="1:17">
      <c r="A288" s="20"/>
      <c r="D288" s="6"/>
      <c r="Q288"/>
    </row>
    <row r="289" spans="1:17">
      <c r="A289" s="20"/>
      <c r="D289" s="6"/>
      <c r="Q289"/>
    </row>
    <row r="290" spans="1:17">
      <c r="A290" s="20"/>
      <c r="D290" s="6"/>
      <c r="Q290"/>
    </row>
    <row r="291" spans="1:17">
      <c r="A291" s="20"/>
      <c r="D291" s="6"/>
      <c r="Q291"/>
    </row>
    <row r="292" spans="1:17">
      <c r="A292" s="20"/>
      <c r="D292" s="6"/>
      <c r="Q292"/>
    </row>
    <row r="293" spans="1:17">
      <c r="A293" s="20"/>
      <c r="D293" s="6"/>
      <c r="Q293"/>
    </row>
    <row r="294" spans="1:17">
      <c r="A294" s="20"/>
      <c r="D294" s="6"/>
      <c r="Q294"/>
    </row>
    <row r="295" spans="1:17">
      <c r="A295" s="20"/>
      <c r="D295" s="6"/>
      <c r="Q295"/>
    </row>
    <row r="296" spans="1:17">
      <c r="A296" s="20"/>
      <c r="D296" s="6"/>
      <c r="Q296"/>
    </row>
    <row r="297" spans="1:17">
      <c r="A297" s="20"/>
      <c r="D297" s="6"/>
      <c r="Q297"/>
    </row>
    <row r="298" spans="1:17">
      <c r="A298" s="20"/>
      <c r="D298" s="6"/>
      <c r="Q298"/>
    </row>
    <row r="299" spans="1:17">
      <c r="A299" s="20"/>
      <c r="D299" s="6"/>
      <c r="Q299"/>
    </row>
    <row r="300" spans="1:17">
      <c r="A300" s="20"/>
      <c r="D300" s="6"/>
      <c r="Q300"/>
    </row>
    <row r="301" spans="1:17">
      <c r="A301" s="20"/>
      <c r="D301" s="6"/>
      <c r="Q301"/>
    </row>
    <row r="302" spans="1:17">
      <c r="A302" s="20"/>
      <c r="D302" s="6"/>
      <c r="Q302"/>
    </row>
    <row r="303" spans="1:17">
      <c r="A303" s="20"/>
      <c r="D303" s="6"/>
      <c r="Q303"/>
    </row>
    <row r="304" spans="1:17">
      <c r="A304" s="20"/>
      <c r="D304" s="6"/>
      <c r="Q304"/>
    </row>
    <row r="305" spans="1:17">
      <c r="A305" s="20"/>
      <c r="D305" s="6"/>
      <c r="Q305"/>
    </row>
    <row r="306" spans="1:17">
      <c r="A306" s="20"/>
      <c r="D306" s="6"/>
      <c r="Q306"/>
    </row>
    <row r="307" spans="1:17">
      <c r="A307" s="20"/>
      <c r="D307" s="6"/>
      <c r="Q307"/>
    </row>
    <row r="308" spans="1:17">
      <c r="A308" s="20"/>
      <c r="D308" s="6"/>
      <c r="Q308"/>
    </row>
    <row r="309" spans="1:17">
      <c r="A309" s="20"/>
      <c r="D309" s="6"/>
      <c r="Q309"/>
    </row>
    <row r="310" spans="1:17">
      <c r="A310" s="20"/>
      <c r="D310" s="6"/>
      <c r="Q310"/>
    </row>
    <row r="311" spans="1:17">
      <c r="A311" s="20"/>
      <c r="D311" s="6"/>
      <c r="Q311"/>
    </row>
    <row r="312" spans="1:17">
      <c r="A312" s="20"/>
      <c r="D312" s="6"/>
      <c r="Q312"/>
    </row>
    <row r="313" spans="1:17">
      <c r="A313" s="20"/>
      <c r="D313" s="6"/>
      <c r="Q313"/>
    </row>
    <row r="314" spans="1:17">
      <c r="A314" s="20"/>
      <c r="D314" s="6"/>
      <c r="Q314"/>
    </row>
    <row r="315" spans="1:17">
      <c r="A315" s="20"/>
      <c r="D315" s="6"/>
      <c r="Q315"/>
    </row>
    <row r="316" spans="1:17">
      <c r="A316" s="20"/>
      <c r="D316" s="6"/>
      <c r="Q316"/>
    </row>
    <row r="317" spans="1:17">
      <c r="A317" s="20"/>
      <c r="D317" s="6"/>
      <c r="Q317"/>
    </row>
    <row r="318" spans="1:17">
      <c r="A318" s="20"/>
      <c r="D318" s="6"/>
      <c r="Q318"/>
    </row>
    <row r="319" spans="1:17">
      <c r="A319" s="20"/>
      <c r="D319" s="6"/>
      <c r="Q319"/>
    </row>
    <row r="320" spans="1:17">
      <c r="A320" s="20"/>
      <c r="D320" s="6"/>
      <c r="Q320"/>
    </row>
    <row r="321" spans="1:17">
      <c r="A321" s="20"/>
      <c r="D321" s="6"/>
      <c r="Q321"/>
    </row>
    <row r="322" spans="1:17">
      <c r="A322" s="20"/>
      <c r="D322" s="6"/>
      <c r="Q322"/>
    </row>
    <row r="323" spans="1:17">
      <c r="A323" s="20"/>
      <c r="D323" s="6"/>
      <c r="Q323"/>
    </row>
    <row r="324" spans="1:17">
      <c r="A324" s="20"/>
      <c r="D324" s="6"/>
      <c r="Q324"/>
    </row>
    <row r="325" spans="1:17">
      <c r="A325" s="20"/>
      <c r="D325" s="6"/>
      <c r="Q325"/>
    </row>
    <row r="326" spans="1:17">
      <c r="A326" s="20"/>
      <c r="D326" s="6"/>
      <c r="Q326"/>
    </row>
    <row r="327" spans="1:17">
      <c r="A327" s="20"/>
      <c r="D327" s="6"/>
      <c r="Q327"/>
    </row>
    <row r="328" spans="1:17">
      <c r="A328" s="20"/>
      <c r="D328" s="6"/>
      <c r="Q328"/>
    </row>
    <row r="329" spans="1:17">
      <c r="A329" s="20"/>
      <c r="D329" s="6"/>
      <c r="Q329"/>
    </row>
    <row r="330" spans="1:17">
      <c r="A330" s="20"/>
      <c r="D330" s="6"/>
      <c r="Q330"/>
    </row>
    <row r="331" spans="1:17">
      <c r="A331" s="20"/>
      <c r="D331" s="6"/>
      <c r="Q331"/>
    </row>
    <row r="332" spans="1:17">
      <c r="A332" s="20"/>
      <c r="D332" s="6"/>
      <c r="Q332"/>
    </row>
    <row r="333" spans="1:17">
      <c r="A333" s="20"/>
      <c r="D333" s="6"/>
      <c r="Q333"/>
    </row>
    <row r="334" spans="1:17">
      <c r="A334" s="20"/>
      <c r="D334" s="6"/>
      <c r="Q334"/>
    </row>
    <row r="335" spans="1:17">
      <c r="A335" s="20"/>
      <c r="D335" s="6"/>
      <c r="Q335"/>
    </row>
    <row r="336" spans="1:17">
      <c r="A336" s="20"/>
      <c r="D336" s="6"/>
      <c r="Q336"/>
    </row>
    <row r="337" spans="1:17">
      <c r="A337" s="20"/>
      <c r="D337" s="6"/>
      <c r="Q337"/>
    </row>
    <row r="338" spans="1:17">
      <c r="A338" s="20"/>
      <c r="D338" s="6"/>
      <c r="Q338"/>
    </row>
    <row r="339" spans="1:17">
      <c r="A339" s="20"/>
      <c r="D339" s="6"/>
      <c r="Q339"/>
    </row>
    <row r="340" spans="1:17">
      <c r="A340" s="20"/>
      <c r="D340" s="6"/>
      <c r="Q340"/>
    </row>
    <row r="341" spans="1:17">
      <c r="A341" s="20"/>
      <c r="D341" s="6"/>
      <c r="Q341"/>
    </row>
    <row r="342" spans="1:17">
      <c r="A342" s="20"/>
      <c r="D342" s="6"/>
      <c r="Q342"/>
    </row>
    <row r="343" spans="1:17">
      <c r="A343" s="20"/>
      <c r="D343" s="6"/>
      <c r="Q343"/>
    </row>
    <row r="344" spans="1:17">
      <c r="A344" s="20"/>
      <c r="D344" s="6"/>
      <c r="Q344"/>
    </row>
    <row r="345" spans="1:17">
      <c r="A345" s="20"/>
      <c r="D345" s="6"/>
      <c r="Q345"/>
    </row>
    <row r="346" spans="1:17">
      <c r="A346" s="20"/>
      <c r="D346" s="6"/>
      <c r="Q346"/>
    </row>
    <row r="347" spans="1:17">
      <c r="A347" s="20"/>
      <c r="D347" s="6"/>
      <c r="Q347"/>
    </row>
    <row r="348" spans="1:17">
      <c r="A348" s="20"/>
      <c r="D348" s="6"/>
      <c r="Q348"/>
    </row>
    <row r="349" spans="1:17">
      <c r="A349" s="20"/>
      <c r="D349" s="6"/>
      <c r="Q349"/>
    </row>
    <row r="350" spans="1:17">
      <c r="A350" s="20"/>
      <c r="D350" s="6"/>
      <c r="Q350"/>
    </row>
    <row r="351" spans="1:17">
      <c r="A351" s="20"/>
      <c r="D351" s="6"/>
      <c r="Q351"/>
    </row>
    <row r="352" spans="1:17">
      <c r="A352" s="20"/>
      <c r="D352" s="6"/>
      <c r="Q352"/>
    </row>
    <row r="353" spans="1:17">
      <c r="A353" s="20"/>
      <c r="D353" s="6"/>
      <c r="Q353"/>
    </row>
    <row r="354" spans="1:17">
      <c r="A354" s="20"/>
      <c r="D354" s="6"/>
      <c r="Q354"/>
    </row>
    <row r="355" spans="1:17">
      <c r="A355" s="20"/>
      <c r="D355" s="6"/>
      <c r="Q355"/>
    </row>
    <row r="356" spans="1:17">
      <c r="A356" s="20"/>
      <c r="D356" s="6"/>
      <c r="Q356"/>
    </row>
    <row r="357" spans="1:17">
      <c r="A357" s="20"/>
      <c r="D357" s="6"/>
      <c r="Q357"/>
    </row>
    <row r="358" spans="1:17">
      <c r="A358" s="20"/>
      <c r="D358" s="6"/>
      <c r="Q358"/>
    </row>
    <row r="359" spans="1:17">
      <c r="A359" s="20"/>
      <c r="D359" s="6"/>
      <c r="Q359"/>
    </row>
    <row r="360" spans="1:17">
      <c r="A360" s="20"/>
      <c r="D360" s="6"/>
      <c r="Q360"/>
    </row>
    <row r="361" spans="1:17">
      <c r="A361" s="20"/>
      <c r="D361" s="6"/>
      <c r="Q361"/>
    </row>
    <row r="362" spans="1:17">
      <c r="A362" s="20"/>
      <c r="D362" s="6"/>
      <c r="Q362"/>
    </row>
    <row r="363" spans="1:17">
      <c r="A363" s="20"/>
      <c r="D363" s="6"/>
      <c r="Q363"/>
    </row>
    <row r="364" spans="1:17">
      <c r="A364" s="20"/>
      <c r="D364" s="6"/>
      <c r="Q364"/>
    </row>
    <row r="365" spans="1:17">
      <c r="A365" s="20"/>
      <c r="D365" s="6"/>
      <c r="Q365"/>
    </row>
    <row r="366" spans="1:17">
      <c r="A366" s="20"/>
      <c r="D366" s="6"/>
      <c r="Q366"/>
    </row>
    <row r="367" spans="1:17">
      <c r="A367" s="20"/>
      <c r="D367" s="6"/>
      <c r="Q367"/>
    </row>
    <row r="368" spans="1:17">
      <c r="A368" s="20"/>
      <c r="D368" s="6"/>
      <c r="Q368"/>
    </row>
    <row r="369" spans="1:17">
      <c r="A369" s="20"/>
      <c r="D369" s="6"/>
      <c r="Q369"/>
    </row>
    <row r="370" spans="1:17">
      <c r="A370" s="20"/>
      <c r="D370" s="6"/>
      <c r="Q370"/>
    </row>
    <row r="371" spans="1:17">
      <c r="A371" s="20"/>
      <c r="D371" s="6"/>
      <c r="Q371"/>
    </row>
    <row r="372" spans="1:17">
      <c r="A372" s="20"/>
      <c r="D372" s="6"/>
      <c r="Q372"/>
    </row>
    <row r="373" spans="1:17">
      <c r="A373" s="20"/>
      <c r="D373" s="6"/>
      <c r="Q373"/>
    </row>
    <row r="374" spans="1:17">
      <c r="A374" s="20"/>
      <c r="D374" s="6"/>
      <c r="Q374"/>
    </row>
    <row r="375" spans="1:17">
      <c r="A375" s="20"/>
      <c r="D375" s="6"/>
      <c r="Q375"/>
    </row>
    <row r="376" spans="1:17">
      <c r="A376" s="20"/>
      <c r="D376" s="6"/>
      <c r="Q376"/>
    </row>
    <row r="377" spans="1:17">
      <c r="A377" s="20"/>
      <c r="D377" s="6"/>
      <c r="Q377"/>
    </row>
    <row r="378" spans="1:17">
      <c r="A378" s="20"/>
      <c r="D378" s="6"/>
      <c r="Q378"/>
    </row>
    <row r="379" spans="1:17">
      <c r="A379" s="20"/>
      <c r="D379" s="6"/>
      <c r="Q379"/>
    </row>
    <row r="380" spans="1:17">
      <c r="A380" s="20"/>
      <c r="D380" s="6"/>
      <c r="Q380"/>
    </row>
    <row r="381" spans="1:17">
      <c r="A381" s="20"/>
      <c r="D381" s="6"/>
      <c r="Q381"/>
    </row>
    <row r="382" spans="1:17">
      <c r="A382" s="20"/>
      <c r="D382" s="6"/>
      <c r="Q382"/>
    </row>
    <row r="383" spans="1:17">
      <c r="A383" s="20"/>
      <c r="D383" s="6"/>
      <c r="Q383"/>
    </row>
    <row r="384" spans="1:17">
      <c r="A384" s="20"/>
      <c r="D384" s="6"/>
      <c r="Q384"/>
    </row>
    <row r="385" spans="1:17">
      <c r="A385" s="20"/>
      <c r="D385" s="6"/>
      <c r="Q385"/>
    </row>
    <row r="386" spans="1:17">
      <c r="A386" s="20"/>
      <c r="D386" s="6"/>
      <c r="Q386"/>
    </row>
    <row r="387" spans="1:17">
      <c r="A387" s="20"/>
      <c r="D387" s="6"/>
      <c r="Q387"/>
    </row>
    <row r="388" spans="1:17">
      <c r="A388" s="20"/>
      <c r="D388" s="6"/>
      <c r="Q388"/>
    </row>
    <row r="389" spans="1:17">
      <c r="A389" s="20"/>
      <c r="D389" s="6"/>
      <c r="Q389"/>
    </row>
    <row r="390" spans="1:17">
      <c r="A390" s="20"/>
      <c r="D390" s="6"/>
      <c r="Q390"/>
    </row>
    <row r="391" spans="1:17">
      <c r="A391" s="20"/>
      <c r="D391" s="6"/>
      <c r="Q391"/>
    </row>
    <row r="392" spans="1:17">
      <c r="A392" s="20"/>
      <c r="D392" s="6"/>
      <c r="Q392"/>
    </row>
    <row r="393" spans="1:17">
      <c r="A393" s="20"/>
      <c r="D393" s="6"/>
      <c r="Q393"/>
    </row>
    <row r="394" spans="1:17">
      <c r="A394" s="20"/>
      <c r="D394" s="6"/>
      <c r="Q394"/>
    </row>
    <row r="395" spans="1:17">
      <c r="A395" s="20"/>
      <c r="D395" s="6"/>
      <c r="Q395"/>
    </row>
    <row r="396" spans="1:17">
      <c r="A396" s="20"/>
      <c r="D396" s="6"/>
      <c r="Q396"/>
    </row>
    <row r="397" spans="1:17">
      <c r="A397" s="20"/>
      <c r="D397" s="6"/>
      <c r="Q397"/>
    </row>
    <row r="398" spans="1:17">
      <c r="A398" s="20"/>
      <c r="D398" s="6"/>
      <c r="Q398"/>
    </row>
    <row r="399" spans="1:17">
      <c r="A399" s="20"/>
      <c r="D399" s="6"/>
      <c r="Q399"/>
    </row>
    <row r="400" spans="1:17">
      <c r="A400" s="20"/>
      <c r="D400" s="6"/>
      <c r="Q400"/>
    </row>
    <row r="401" spans="1:17">
      <c r="A401" s="20"/>
      <c r="D401" s="6"/>
      <c r="Q401"/>
    </row>
    <row r="402" spans="1:17">
      <c r="A402" s="20"/>
      <c r="D402" s="6"/>
      <c r="Q402"/>
    </row>
    <row r="403" spans="1:17">
      <c r="A403" s="20"/>
      <c r="D403" s="6"/>
      <c r="Q403"/>
    </row>
    <row r="404" spans="1:17">
      <c r="A404" s="20"/>
      <c r="D404" s="6"/>
      <c r="Q404"/>
    </row>
    <row r="405" spans="1:17">
      <c r="A405" s="20"/>
      <c r="D405" s="6"/>
      <c r="Q405"/>
    </row>
    <row r="406" spans="1:17">
      <c r="A406" s="20"/>
      <c r="D406" s="6"/>
      <c r="Q406"/>
    </row>
    <row r="407" spans="1:17">
      <c r="A407" s="20"/>
      <c r="D407" s="6"/>
      <c r="Q407"/>
    </row>
    <row r="408" spans="1:17">
      <c r="A408" s="20"/>
      <c r="D408" s="6"/>
      <c r="Q408"/>
    </row>
    <row r="409" spans="1:17">
      <c r="A409" s="20"/>
      <c r="D409" s="6"/>
      <c r="Q409"/>
    </row>
    <row r="410" spans="1:17">
      <c r="A410" s="20"/>
      <c r="D410" s="6"/>
      <c r="Q410"/>
    </row>
    <row r="411" spans="1:17">
      <c r="A411" s="20"/>
      <c r="D411" s="6"/>
      <c r="Q411"/>
    </row>
    <row r="412" spans="1:17">
      <c r="A412" s="20"/>
      <c r="D412" s="6"/>
      <c r="Q412"/>
    </row>
    <row r="413" spans="1:17">
      <c r="A413" s="20"/>
      <c r="D413" s="6"/>
      <c r="Q413"/>
    </row>
    <row r="414" spans="1:17">
      <c r="A414" s="20"/>
      <c r="D414" s="6"/>
      <c r="Q414"/>
    </row>
    <row r="415" spans="1:17">
      <c r="A415" s="20"/>
      <c r="D415" s="6"/>
      <c r="Q415"/>
    </row>
    <row r="416" spans="1:17">
      <c r="A416" s="20"/>
      <c r="D416" s="6"/>
      <c r="Q416"/>
    </row>
    <row r="417" spans="1:17">
      <c r="A417" s="20"/>
      <c r="D417" s="6"/>
      <c r="Q417"/>
    </row>
    <row r="418" spans="1:17">
      <c r="A418" s="20"/>
      <c r="D418" s="6"/>
      <c r="Q418"/>
    </row>
    <row r="419" spans="1:17">
      <c r="A419" s="20"/>
      <c r="D419" s="6"/>
      <c r="Q419"/>
    </row>
    <row r="420" spans="1:17">
      <c r="A420" s="20"/>
      <c r="D420" s="6"/>
      <c r="Q420"/>
    </row>
    <row r="421" spans="1:17">
      <c r="A421" s="20"/>
      <c r="D421" s="6"/>
      <c r="Q421"/>
    </row>
    <row r="422" spans="1:17">
      <c r="A422" s="20"/>
      <c r="D422" s="6"/>
      <c r="Q422"/>
    </row>
    <row r="423" spans="1:17">
      <c r="A423" s="20"/>
      <c r="D423" s="6"/>
      <c r="Q423"/>
    </row>
    <row r="424" spans="1:17">
      <c r="A424" s="20"/>
      <c r="D424" s="6"/>
      <c r="Q424"/>
    </row>
    <row r="425" spans="1:17">
      <c r="A425" s="20"/>
      <c r="D425" s="6"/>
      <c r="Q425"/>
    </row>
    <row r="426" spans="1:17">
      <c r="A426" s="20"/>
      <c r="D426" s="6"/>
      <c r="Q426"/>
    </row>
    <row r="427" spans="1:17">
      <c r="A427" s="20"/>
      <c r="D427" s="6"/>
      <c r="Q427"/>
    </row>
    <row r="428" spans="1:17">
      <c r="A428" s="20"/>
      <c r="D428" s="6"/>
      <c r="Q428"/>
    </row>
    <row r="429" spans="1:17">
      <c r="A429" s="20"/>
      <c r="D429" s="6"/>
      <c r="Q429"/>
    </row>
    <row r="430" spans="1:17">
      <c r="A430" s="20"/>
      <c r="D430" s="6"/>
      <c r="Q430"/>
    </row>
    <row r="431" spans="1:17">
      <c r="A431" s="20"/>
      <c r="D431" s="6"/>
      <c r="Q431"/>
    </row>
    <row r="432" spans="1:17">
      <c r="A432" s="20"/>
      <c r="D432" s="6"/>
      <c r="Q432"/>
    </row>
    <row r="433" spans="1:17">
      <c r="A433" s="20"/>
      <c r="D433" s="6"/>
      <c r="Q433"/>
    </row>
    <row r="434" spans="1:17">
      <c r="A434" s="20"/>
      <c r="D434" s="6"/>
      <c r="Q434"/>
    </row>
    <row r="435" spans="1:17">
      <c r="A435" s="20"/>
      <c r="D435" s="6"/>
      <c r="Q435"/>
    </row>
    <row r="436" spans="1:17">
      <c r="A436" s="20"/>
      <c r="D436" s="6"/>
      <c r="Q436"/>
    </row>
    <row r="437" spans="1:17">
      <c r="A437" s="20"/>
      <c r="D437" s="6"/>
      <c r="Q437"/>
    </row>
    <row r="438" spans="1:17">
      <c r="A438" s="20"/>
      <c r="D438" s="6"/>
      <c r="Q438"/>
    </row>
    <row r="439" spans="1:17">
      <c r="A439" s="20"/>
      <c r="D439" s="6"/>
      <c r="Q439"/>
    </row>
    <row r="440" spans="1:17">
      <c r="A440" s="20"/>
      <c r="D440" s="6"/>
      <c r="Q440"/>
    </row>
    <row r="441" spans="1:17">
      <c r="A441" s="20"/>
      <c r="D441" s="6"/>
      <c r="Q441"/>
    </row>
    <row r="442" spans="1:17">
      <c r="A442" s="20"/>
      <c r="D442" s="6"/>
      <c r="Q442"/>
    </row>
    <row r="443" spans="1:17">
      <c r="A443" s="20"/>
      <c r="D443" s="6"/>
      <c r="Q443"/>
    </row>
    <row r="444" spans="1:17">
      <c r="A444" s="20"/>
      <c r="D444" s="6"/>
      <c r="Q444"/>
    </row>
    <row r="445" spans="1:17">
      <c r="A445" s="20"/>
      <c r="D445" s="6"/>
      <c r="Q445"/>
    </row>
    <row r="446" spans="1:17">
      <c r="A446" s="20"/>
      <c r="D446" s="6"/>
      <c r="Q446"/>
    </row>
    <row r="447" spans="1:17">
      <c r="A447" s="20"/>
      <c r="D447" s="6"/>
      <c r="Q447"/>
    </row>
    <row r="448" spans="1:17">
      <c r="A448" s="20"/>
      <c r="D448" s="6"/>
      <c r="Q448"/>
    </row>
    <row r="449" spans="1:17">
      <c r="A449" s="20"/>
      <c r="D449" s="6"/>
      <c r="Q449"/>
    </row>
    <row r="450" spans="1:17">
      <c r="A450" s="20"/>
      <c r="D450" s="6"/>
      <c r="Q450"/>
    </row>
    <row r="451" spans="1:17">
      <c r="A451" s="20"/>
      <c r="D451" s="6"/>
      <c r="Q451"/>
    </row>
    <row r="452" spans="1:17">
      <c r="A452" s="20"/>
      <c r="D452" s="6"/>
      <c r="Q452"/>
    </row>
    <row r="453" spans="1:17">
      <c r="A453" s="20"/>
      <c r="D453" s="6"/>
      <c r="Q453"/>
    </row>
    <row r="454" spans="1:17">
      <c r="A454" s="20"/>
      <c r="D454" s="6"/>
      <c r="Q454"/>
    </row>
    <row r="455" spans="1:17">
      <c r="A455" s="20"/>
      <c r="D455" s="6"/>
      <c r="Q455"/>
    </row>
    <row r="456" spans="1:17">
      <c r="A456" s="20"/>
      <c r="D456" s="6"/>
      <c r="Q456"/>
    </row>
    <row r="457" spans="1:17">
      <c r="A457" s="20"/>
      <c r="D457" s="6"/>
      <c r="Q457"/>
    </row>
    <row r="458" spans="1:17">
      <c r="A458" s="20"/>
      <c r="D458" s="6"/>
      <c r="Q458"/>
    </row>
    <row r="459" spans="1:17">
      <c r="A459" s="20"/>
      <c r="D459" s="6"/>
      <c r="Q459"/>
    </row>
    <row r="460" spans="1:17">
      <c r="A460" s="20"/>
      <c r="D460" s="6"/>
      <c r="Q460"/>
    </row>
    <row r="461" spans="1:17">
      <c r="A461" s="20"/>
      <c r="D461" s="6"/>
      <c r="Q461"/>
    </row>
    <row r="462" spans="1:17">
      <c r="A462" s="20"/>
      <c r="D462" s="6"/>
      <c r="Q462"/>
    </row>
    <row r="463" spans="1:17">
      <c r="A463" s="20"/>
      <c r="D463" s="6"/>
      <c r="Q463"/>
    </row>
    <row r="464" spans="1:17">
      <c r="A464" s="20"/>
      <c r="D464" s="6"/>
      <c r="Q464"/>
    </row>
    <row r="465" spans="1:17">
      <c r="A465" s="20"/>
      <c r="D465" s="6"/>
      <c r="Q465"/>
    </row>
    <row r="466" spans="1:17">
      <c r="A466" s="20"/>
      <c r="D466" s="6"/>
      <c r="Q466"/>
    </row>
    <row r="467" spans="1:17">
      <c r="A467" s="20"/>
      <c r="D467" s="6"/>
      <c r="Q467"/>
    </row>
    <row r="468" spans="1:17">
      <c r="A468" s="20"/>
      <c r="D468" s="6"/>
      <c r="Q468"/>
    </row>
    <row r="469" spans="1:17">
      <c r="A469" s="20"/>
      <c r="D469" s="6"/>
      <c r="Q469"/>
    </row>
    <row r="470" spans="1:17">
      <c r="A470" s="20"/>
      <c r="D470" s="6"/>
      <c r="Q470"/>
    </row>
    <row r="471" spans="1:17">
      <c r="A471" s="20"/>
      <c r="D471" s="6"/>
      <c r="Q471"/>
    </row>
    <row r="472" spans="1:17">
      <c r="A472" s="20"/>
      <c r="D472" s="6"/>
      <c r="Q472"/>
    </row>
    <row r="473" spans="1:17">
      <c r="A473" s="20"/>
      <c r="D473" s="6"/>
      <c r="Q473"/>
    </row>
    <row r="474" spans="1:17">
      <c r="A474" s="20"/>
      <c r="D474" s="6"/>
      <c r="Q474"/>
    </row>
    <row r="475" spans="1:17">
      <c r="A475" s="20"/>
      <c r="D475" s="6"/>
      <c r="Q475"/>
    </row>
    <row r="476" spans="1:17">
      <c r="A476" s="20"/>
      <c r="D476" s="6"/>
      <c r="Q476"/>
    </row>
    <row r="477" spans="1:17">
      <c r="A477" s="20"/>
      <c r="D477" s="6"/>
      <c r="Q477"/>
    </row>
    <row r="478" spans="1:17">
      <c r="A478" s="20"/>
      <c r="D478" s="6"/>
      <c r="Q478"/>
    </row>
    <row r="479" spans="1:17">
      <c r="A479" s="20"/>
      <c r="D479" s="6"/>
      <c r="Q479"/>
    </row>
    <row r="480" spans="1:17">
      <c r="A480" s="20"/>
      <c r="D480" s="6"/>
      <c r="Q480"/>
    </row>
    <row r="481" spans="1:17">
      <c r="A481" s="20"/>
      <c r="D481" s="6"/>
      <c r="Q481"/>
    </row>
    <row r="482" spans="1:17">
      <c r="A482" s="20"/>
      <c r="D482" s="6"/>
      <c r="Q482"/>
    </row>
    <row r="483" spans="1:17">
      <c r="A483" s="20"/>
      <c r="D483" s="6"/>
      <c r="Q483"/>
    </row>
    <row r="484" spans="1:17">
      <c r="A484" s="20"/>
      <c r="D484" s="6"/>
      <c r="Q484"/>
    </row>
    <row r="485" spans="1:17">
      <c r="A485" s="20"/>
      <c r="D485" s="6"/>
      <c r="Q485"/>
    </row>
    <row r="486" spans="1:17">
      <c r="A486" s="20"/>
      <c r="D486" s="6"/>
      <c r="Q486"/>
    </row>
    <row r="487" spans="1:17">
      <c r="A487" s="20"/>
      <c r="D487" s="6"/>
      <c r="Q487"/>
    </row>
    <row r="488" spans="1:17">
      <c r="A488" s="20"/>
      <c r="D488" s="6"/>
      <c r="Q488"/>
    </row>
    <row r="489" spans="1:17">
      <c r="A489" s="20"/>
      <c r="D489" s="6"/>
      <c r="Q489"/>
    </row>
    <row r="490" spans="1:17">
      <c r="A490" s="20"/>
      <c r="D490" s="6"/>
      <c r="Q490"/>
    </row>
    <row r="491" spans="1:17">
      <c r="A491" s="20"/>
      <c r="D491" s="6"/>
      <c r="Q491"/>
    </row>
    <row r="492" spans="1:17">
      <c r="A492" s="20"/>
      <c r="D492" s="6"/>
      <c r="Q492"/>
    </row>
    <row r="493" spans="1:17">
      <c r="A493" s="20"/>
      <c r="D493" s="6"/>
      <c r="Q493"/>
    </row>
    <row r="494" spans="1:17">
      <c r="A494" s="20"/>
      <c r="D494" s="6"/>
      <c r="Q494"/>
    </row>
    <row r="495" spans="1:17">
      <c r="A495" s="20"/>
      <c r="D495" s="6"/>
      <c r="Q495"/>
    </row>
    <row r="496" spans="1:17">
      <c r="A496" s="20"/>
      <c r="D496" s="6"/>
      <c r="Q496"/>
    </row>
    <row r="497" spans="1:17">
      <c r="A497" s="20"/>
      <c r="D497" s="6"/>
      <c r="Q497"/>
    </row>
    <row r="498" spans="1:17">
      <c r="A498" s="20"/>
      <c r="D498" s="6"/>
      <c r="Q498"/>
    </row>
    <row r="499" spans="1:17">
      <c r="A499" s="20"/>
      <c r="D499" s="6"/>
      <c r="Q499"/>
    </row>
    <row r="500" spans="1:17">
      <c r="A500" s="20"/>
      <c r="D500" s="6"/>
    </row>
  </sheetData>
  <autoFilter ref="A1:D500" xr:uid="{C5AEFD92-AE42-445C-8771-97B628B0347E}"/>
  <sortState xmlns:xlrd2="http://schemas.microsoft.com/office/spreadsheetml/2017/richdata2" ref="A2:D50">
    <sortCondition ref="A2:A50"/>
  </sortState>
  <phoneticPr fontId="5" type="noConversion"/>
  <dataValidations count="1">
    <dataValidation type="list" allowBlank="1" showInputMessage="1" showErrorMessage="1" sqref="G1" xr:uid="{814733D5-3524-4848-B070-C765F5583A23}">
      <formula1>$K$1:$K$4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CF86-C9EF-4C27-85FB-36EA3ED2E0D8}">
  <dimension ref="A1:M499"/>
  <sheetViews>
    <sheetView showGridLines="0" tabSelected="1" zoomScale="120" zoomScaleNormal="120" workbookViewId="0">
      <selection activeCell="H4" sqref="H4"/>
    </sheetView>
  </sheetViews>
  <sheetFormatPr defaultColWidth="9.140625" defaultRowHeight="15.6"/>
  <cols>
    <col min="1" max="1" width="13.5703125" style="9" customWidth="1"/>
    <col min="2" max="6" width="11.7109375" style="9" customWidth="1"/>
    <col min="7" max="7" width="9.7109375" style="8" bestFit="1" customWidth="1"/>
    <col min="8" max="8" width="11.85546875" style="1" customWidth="1"/>
    <col min="9" max="13" width="11.7109375" style="1" customWidth="1"/>
    <col min="14" max="16384" width="9.140625" style="1"/>
  </cols>
  <sheetData>
    <row r="1" spans="1:13">
      <c r="A1" s="7" t="s">
        <v>0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19"/>
      <c r="H1" s="30" t="s">
        <v>0</v>
      </c>
      <c r="I1" s="3" t="s">
        <v>297</v>
      </c>
      <c r="J1" s="3" t="s">
        <v>298</v>
      </c>
      <c r="K1" s="3" t="s">
        <v>299</v>
      </c>
      <c r="L1" s="3" t="s">
        <v>300</v>
      </c>
      <c r="M1" s="3" t="s">
        <v>301</v>
      </c>
    </row>
    <row r="2" spans="1:13">
      <c r="A2" s="8" t="s">
        <v>4</v>
      </c>
      <c r="B2" s="29">
        <v>6000</v>
      </c>
      <c r="C2" s="29">
        <v>14700</v>
      </c>
      <c r="D2" s="29">
        <v>7500</v>
      </c>
      <c r="E2" s="29">
        <v>9100</v>
      </c>
      <c r="F2" s="29">
        <v>4100</v>
      </c>
      <c r="G2" s="19"/>
      <c r="H2" s="26" t="s">
        <v>18</v>
      </c>
      <c r="I2" s="31" cm="1">
        <f t="array" ref="I2:M2">_xlfn.XLOOKUP(H2,A:A,B:F)</f>
        <v>9200</v>
      </c>
      <c r="J2" s="31">
        <v>14000</v>
      </c>
      <c r="K2" s="31">
        <v>16000</v>
      </c>
      <c r="L2" s="31">
        <v>5100</v>
      </c>
      <c r="M2" s="31">
        <v>18900</v>
      </c>
    </row>
    <row r="3" spans="1:13">
      <c r="A3" s="8" t="s">
        <v>8</v>
      </c>
      <c r="B3" s="29">
        <v>7800</v>
      </c>
      <c r="C3" s="29">
        <v>18300</v>
      </c>
      <c r="D3" s="29">
        <v>4800</v>
      </c>
      <c r="E3" s="29">
        <v>12300</v>
      </c>
      <c r="F3" s="29">
        <v>10700</v>
      </c>
      <c r="H3" s="26" t="s">
        <v>44</v>
      </c>
      <c r="I3" s="31" cm="1">
        <f t="array" ref="I3:M3">_xlfn.XLOOKUP(H3,A:A,B:F)</f>
        <v>7900</v>
      </c>
      <c r="J3" s="31">
        <v>9900</v>
      </c>
      <c r="K3" s="31">
        <v>16600</v>
      </c>
      <c r="L3" s="31">
        <v>4600</v>
      </c>
      <c r="M3" s="31">
        <v>3100</v>
      </c>
    </row>
    <row r="4" spans="1:13">
      <c r="A4" s="8" t="s">
        <v>11</v>
      </c>
      <c r="B4" s="29">
        <v>12000</v>
      </c>
      <c r="C4" s="29">
        <v>16500</v>
      </c>
      <c r="D4" s="29">
        <v>8700</v>
      </c>
      <c r="E4" s="29">
        <v>6400</v>
      </c>
      <c r="F4" s="29">
        <v>7100</v>
      </c>
      <c r="H4" s="26" t="s">
        <v>121</v>
      </c>
      <c r="I4" s="31" cm="1">
        <f t="array" ref="I4:M4">_xlfn.XLOOKUP(H4,A:A,B:F)</f>
        <v>5000</v>
      </c>
      <c r="J4" s="31">
        <v>15200</v>
      </c>
      <c r="K4" s="31">
        <v>6800</v>
      </c>
      <c r="L4" s="31">
        <v>7700</v>
      </c>
      <c r="M4" s="31">
        <v>10300</v>
      </c>
    </row>
    <row r="5" spans="1:13">
      <c r="A5" s="8" t="s">
        <v>14</v>
      </c>
      <c r="B5" s="29">
        <v>1600</v>
      </c>
      <c r="C5" s="29">
        <v>18900</v>
      </c>
      <c r="D5" s="29">
        <v>3900</v>
      </c>
      <c r="E5" s="29">
        <v>18600</v>
      </c>
      <c r="F5" s="29">
        <v>11500</v>
      </c>
    </row>
    <row r="6" spans="1:13">
      <c r="A6" s="8" t="s">
        <v>16</v>
      </c>
      <c r="B6" s="29">
        <v>5600</v>
      </c>
      <c r="C6" s="29">
        <v>10300</v>
      </c>
      <c r="D6" s="29">
        <v>4200</v>
      </c>
      <c r="E6" s="29">
        <v>11600</v>
      </c>
      <c r="F6" s="29">
        <v>8000</v>
      </c>
    </row>
    <row r="7" spans="1:13">
      <c r="A7" s="8" t="s">
        <v>18</v>
      </c>
      <c r="B7" s="29">
        <v>9200</v>
      </c>
      <c r="C7" s="29">
        <v>14000</v>
      </c>
      <c r="D7" s="29">
        <v>16000</v>
      </c>
      <c r="E7" s="29">
        <v>5100</v>
      </c>
      <c r="F7" s="29">
        <v>18900</v>
      </c>
    </row>
    <row r="8" spans="1:13">
      <c r="A8" s="8" t="s">
        <v>20</v>
      </c>
      <c r="B8" s="29">
        <v>6100</v>
      </c>
      <c r="C8" s="29">
        <v>14900</v>
      </c>
      <c r="D8" s="29">
        <v>13100</v>
      </c>
      <c r="E8" s="29">
        <v>18800</v>
      </c>
      <c r="F8" s="29">
        <v>1300</v>
      </c>
    </row>
    <row r="9" spans="1:13">
      <c r="A9" s="8" t="s">
        <v>22</v>
      </c>
      <c r="B9" s="29">
        <v>9100</v>
      </c>
      <c r="C9" s="29">
        <v>10300</v>
      </c>
      <c r="D9" s="29">
        <v>19100</v>
      </c>
      <c r="E9" s="29">
        <v>17300</v>
      </c>
      <c r="F9" s="29">
        <v>1000</v>
      </c>
    </row>
    <row r="10" spans="1:13">
      <c r="A10" s="8" t="s">
        <v>24</v>
      </c>
      <c r="B10" s="29">
        <v>12200</v>
      </c>
      <c r="C10" s="29">
        <v>12100</v>
      </c>
      <c r="D10" s="29">
        <v>11900</v>
      </c>
      <c r="E10" s="29">
        <v>13700</v>
      </c>
      <c r="F10" s="29">
        <v>6500</v>
      </c>
    </row>
    <row r="11" spans="1:13">
      <c r="A11" s="8" t="s">
        <v>26</v>
      </c>
      <c r="B11" s="29">
        <v>7500</v>
      </c>
      <c r="C11" s="29">
        <v>12700</v>
      </c>
      <c r="D11" s="29">
        <v>9100</v>
      </c>
      <c r="E11" s="29">
        <v>9900</v>
      </c>
      <c r="F11" s="29">
        <v>6900</v>
      </c>
      <c r="L11"/>
    </row>
    <row r="12" spans="1:13">
      <c r="A12" s="8" t="s">
        <v>28</v>
      </c>
      <c r="B12" s="29">
        <v>7200</v>
      </c>
      <c r="C12" s="29">
        <v>13300</v>
      </c>
      <c r="D12" s="29">
        <v>13700</v>
      </c>
      <c r="E12" s="29">
        <v>5700</v>
      </c>
      <c r="F12" s="29">
        <v>2300</v>
      </c>
      <c r="L12"/>
    </row>
    <row r="13" spans="1:13">
      <c r="A13" s="8" t="s">
        <v>30</v>
      </c>
      <c r="B13" s="29">
        <v>7400</v>
      </c>
      <c r="C13" s="29">
        <v>1000</v>
      </c>
      <c r="D13" s="29">
        <v>9800</v>
      </c>
      <c r="E13" s="29">
        <v>17700</v>
      </c>
      <c r="F13" s="29">
        <v>19600</v>
      </c>
      <c r="L13"/>
    </row>
    <row r="14" spans="1:13">
      <c r="A14" s="8" t="s">
        <v>32</v>
      </c>
      <c r="B14" s="29">
        <v>14600</v>
      </c>
      <c r="C14" s="29">
        <v>15200</v>
      </c>
      <c r="D14" s="29">
        <v>1700</v>
      </c>
      <c r="E14" s="29">
        <v>11300</v>
      </c>
      <c r="F14" s="29">
        <v>13600</v>
      </c>
      <c r="L14"/>
    </row>
    <row r="15" spans="1:13">
      <c r="A15" s="8" t="s">
        <v>34</v>
      </c>
      <c r="B15" s="29">
        <v>6000</v>
      </c>
      <c r="C15" s="29">
        <v>1300</v>
      </c>
      <c r="D15" s="29">
        <v>17400</v>
      </c>
      <c r="E15" s="29">
        <v>1800</v>
      </c>
      <c r="F15" s="29">
        <v>17600</v>
      </c>
      <c r="L15"/>
    </row>
    <row r="16" spans="1:13">
      <c r="A16" s="8" t="s">
        <v>36</v>
      </c>
      <c r="B16" s="29">
        <v>15700</v>
      </c>
      <c r="C16" s="29">
        <v>5000</v>
      </c>
      <c r="D16" s="29">
        <v>11500</v>
      </c>
      <c r="E16" s="29">
        <v>11800</v>
      </c>
      <c r="F16" s="29">
        <v>15400</v>
      </c>
      <c r="L16"/>
    </row>
    <row r="17" spans="1:12">
      <c r="A17" s="8" t="s">
        <v>38</v>
      </c>
      <c r="B17" s="29">
        <v>14200</v>
      </c>
      <c r="C17" s="29">
        <v>2900</v>
      </c>
      <c r="D17" s="29">
        <v>10800</v>
      </c>
      <c r="E17" s="29">
        <v>14900</v>
      </c>
      <c r="F17" s="29">
        <v>16000</v>
      </c>
      <c r="L17"/>
    </row>
    <row r="18" spans="1:12">
      <c r="A18" s="8" t="s">
        <v>40</v>
      </c>
      <c r="B18" s="29">
        <v>13300</v>
      </c>
      <c r="C18" s="29">
        <v>13700</v>
      </c>
      <c r="D18" s="29">
        <v>19100</v>
      </c>
      <c r="E18" s="29">
        <v>7100</v>
      </c>
      <c r="F18" s="29">
        <v>16100</v>
      </c>
      <c r="L18"/>
    </row>
    <row r="19" spans="1:12">
      <c r="A19" s="8" t="s">
        <v>42</v>
      </c>
      <c r="B19" s="29">
        <v>7800</v>
      </c>
      <c r="C19" s="29">
        <v>1000</v>
      </c>
      <c r="D19" s="29">
        <v>5300</v>
      </c>
      <c r="E19" s="29">
        <v>2400</v>
      </c>
      <c r="F19" s="29">
        <v>9600</v>
      </c>
      <c r="L19"/>
    </row>
    <row r="20" spans="1:12">
      <c r="A20" s="8" t="s">
        <v>44</v>
      </c>
      <c r="B20" s="29">
        <v>7900</v>
      </c>
      <c r="C20" s="29">
        <v>9900</v>
      </c>
      <c r="D20" s="29">
        <v>16600</v>
      </c>
      <c r="E20" s="29">
        <v>4600</v>
      </c>
      <c r="F20" s="29">
        <v>3100</v>
      </c>
      <c r="L20"/>
    </row>
    <row r="21" spans="1:12">
      <c r="A21" s="8" t="s">
        <v>46</v>
      </c>
      <c r="B21" s="29">
        <v>17700</v>
      </c>
      <c r="C21" s="29">
        <v>7200</v>
      </c>
      <c r="D21" s="29">
        <v>14300</v>
      </c>
      <c r="E21" s="29">
        <v>7400</v>
      </c>
      <c r="F21" s="29">
        <v>15200</v>
      </c>
      <c r="L21"/>
    </row>
    <row r="22" spans="1:12">
      <c r="A22" s="8" t="s">
        <v>48</v>
      </c>
      <c r="B22" s="29">
        <v>3000</v>
      </c>
      <c r="C22" s="29">
        <v>4400</v>
      </c>
      <c r="D22" s="29">
        <v>9700</v>
      </c>
      <c r="E22" s="29">
        <v>2800</v>
      </c>
      <c r="F22" s="29">
        <v>5200</v>
      </c>
      <c r="L22"/>
    </row>
    <row r="23" spans="1:12">
      <c r="A23" s="8" t="s">
        <v>49</v>
      </c>
      <c r="B23" s="29">
        <v>9600</v>
      </c>
      <c r="C23" s="29">
        <v>6400</v>
      </c>
      <c r="D23" s="29">
        <v>8200</v>
      </c>
      <c r="E23" s="29">
        <v>17800</v>
      </c>
      <c r="F23" s="29">
        <v>9200</v>
      </c>
      <c r="L23"/>
    </row>
    <row r="24" spans="1:12">
      <c r="A24" s="8" t="s">
        <v>51</v>
      </c>
      <c r="B24" s="29">
        <v>7200</v>
      </c>
      <c r="C24" s="29">
        <v>17900</v>
      </c>
      <c r="D24" s="29">
        <v>11900</v>
      </c>
      <c r="E24" s="29">
        <v>2500</v>
      </c>
      <c r="F24" s="29">
        <v>11500</v>
      </c>
      <c r="L24"/>
    </row>
    <row r="25" spans="1:12">
      <c r="A25" s="8" t="s">
        <v>53</v>
      </c>
      <c r="B25" s="29">
        <v>7200</v>
      </c>
      <c r="C25" s="29">
        <v>19200</v>
      </c>
      <c r="D25" s="29">
        <v>17100</v>
      </c>
      <c r="E25" s="29">
        <v>12800</v>
      </c>
      <c r="F25" s="29">
        <v>17200</v>
      </c>
      <c r="L25"/>
    </row>
    <row r="26" spans="1:12">
      <c r="A26" s="8" t="s">
        <v>55</v>
      </c>
      <c r="B26" s="29">
        <v>8100</v>
      </c>
      <c r="C26" s="29">
        <v>1900</v>
      </c>
      <c r="D26" s="29">
        <v>13000</v>
      </c>
      <c r="E26" s="29">
        <v>4600</v>
      </c>
      <c r="F26" s="29">
        <v>14300</v>
      </c>
      <c r="L26"/>
    </row>
    <row r="27" spans="1:12">
      <c r="A27" s="8" t="s">
        <v>57</v>
      </c>
      <c r="B27" s="29">
        <v>11100</v>
      </c>
      <c r="C27" s="29">
        <v>15500</v>
      </c>
      <c r="D27" s="29">
        <v>19600</v>
      </c>
      <c r="E27" s="29">
        <v>4800</v>
      </c>
      <c r="F27" s="29">
        <v>1000</v>
      </c>
      <c r="L27"/>
    </row>
    <row r="28" spans="1:12">
      <c r="A28" s="8" t="s">
        <v>59</v>
      </c>
      <c r="B28" s="29">
        <v>19500</v>
      </c>
      <c r="C28" s="29">
        <v>2800</v>
      </c>
      <c r="D28" s="29">
        <v>19200</v>
      </c>
      <c r="E28" s="29">
        <v>4300</v>
      </c>
      <c r="F28" s="29">
        <v>11600</v>
      </c>
      <c r="L28"/>
    </row>
    <row r="29" spans="1:12">
      <c r="A29" s="8" t="s">
        <v>61</v>
      </c>
      <c r="B29" s="29">
        <v>9100</v>
      </c>
      <c r="C29" s="29">
        <v>19500</v>
      </c>
      <c r="D29" s="29">
        <v>8500</v>
      </c>
      <c r="E29" s="29">
        <v>11300</v>
      </c>
      <c r="F29" s="29">
        <v>9700</v>
      </c>
      <c r="L29"/>
    </row>
    <row r="30" spans="1:12">
      <c r="A30" s="8" t="s">
        <v>63</v>
      </c>
      <c r="B30" s="29">
        <v>18600</v>
      </c>
      <c r="C30" s="29">
        <v>19400</v>
      </c>
      <c r="D30" s="29">
        <v>14000</v>
      </c>
      <c r="E30" s="29">
        <v>8100</v>
      </c>
      <c r="F30" s="29">
        <v>5000</v>
      </c>
      <c r="L30"/>
    </row>
    <row r="31" spans="1:12">
      <c r="A31" s="8" t="s">
        <v>65</v>
      </c>
      <c r="B31" s="29">
        <v>19300</v>
      </c>
      <c r="C31" s="29">
        <v>19700</v>
      </c>
      <c r="D31" s="29">
        <v>10000</v>
      </c>
      <c r="E31" s="29">
        <v>10400</v>
      </c>
      <c r="F31" s="29">
        <v>8600</v>
      </c>
      <c r="L31"/>
    </row>
    <row r="32" spans="1:12">
      <c r="A32" s="8" t="s">
        <v>67</v>
      </c>
      <c r="B32" s="29">
        <v>14000</v>
      </c>
      <c r="C32" s="29">
        <v>4500</v>
      </c>
      <c r="D32" s="29">
        <v>14500</v>
      </c>
      <c r="E32" s="29">
        <v>3800</v>
      </c>
      <c r="F32" s="29">
        <v>8800</v>
      </c>
      <c r="L32"/>
    </row>
    <row r="33" spans="1:12">
      <c r="A33" s="8" t="s">
        <v>69</v>
      </c>
      <c r="B33" s="29">
        <v>3900</v>
      </c>
      <c r="C33" s="29">
        <v>13800</v>
      </c>
      <c r="D33" s="29">
        <v>2000</v>
      </c>
      <c r="E33" s="29">
        <v>2600</v>
      </c>
      <c r="F33" s="29">
        <v>16600</v>
      </c>
      <c r="L33"/>
    </row>
    <row r="34" spans="1:12">
      <c r="A34" s="8" t="s">
        <v>71</v>
      </c>
      <c r="B34" s="29">
        <v>19400</v>
      </c>
      <c r="C34" s="29">
        <v>8400</v>
      </c>
      <c r="D34" s="29">
        <v>16600</v>
      </c>
      <c r="E34" s="29">
        <v>6300</v>
      </c>
      <c r="F34" s="29">
        <v>17100</v>
      </c>
      <c r="L34"/>
    </row>
    <row r="35" spans="1:12">
      <c r="A35" s="8" t="s">
        <v>73</v>
      </c>
      <c r="B35" s="29">
        <v>6700</v>
      </c>
      <c r="C35" s="29">
        <v>8700</v>
      </c>
      <c r="D35" s="29">
        <v>10400</v>
      </c>
      <c r="E35" s="29">
        <v>8600</v>
      </c>
      <c r="F35" s="29">
        <v>15100</v>
      </c>
      <c r="L35"/>
    </row>
    <row r="36" spans="1:12">
      <c r="A36" s="8" t="s">
        <v>75</v>
      </c>
      <c r="B36" s="29">
        <v>15900</v>
      </c>
      <c r="C36" s="29">
        <v>9200</v>
      </c>
      <c r="D36" s="29">
        <v>10900</v>
      </c>
      <c r="E36" s="29">
        <v>4600</v>
      </c>
      <c r="F36" s="29">
        <v>1000</v>
      </c>
      <c r="L36"/>
    </row>
    <row r="37" spans="1:12">
      <c r="A37" s="8" t="s">
        <v>77</v>
      </c>
      <c r="B37" s="29">
        <v>7500</v>
      </c>
      <c r="C37" s="29">
        <v>10800</v>
      </c>
      <c r="D37" s="29">
        <v>2800</v>
      </c>
      <c r="E37" s="29">
        <v>17100</v>
      </c>
      <c r="F37" s="29">
        <v>15700</v>
      </c>
      <c r="L37"/>
    </row>
    <row r="38" spans="1:12">
      <c r="A38" s="8" t="s">
        <v>79</v>
      </c>
      <c r="B38" s="29">
        <v>9700</v>
      </c>
      <c r="C38" s="29">
        <v>5200</v>
      </c>
      <c r="D38" s="29">
        <v>13300</v>
      </c>
      <c r="E38" s="29">
        <v>10600</v>
      </c>
      <c r="F38" s="29">
        <v>8300</v>
      </c>
      <c r="L38"/>
    </row>
    <row r="39" spans="1:12">
      <c r="A39" s="8" t="s">
        <v>81</v>
      </c>
      <c r="B39" s="29">
        <v>14600</v>
      </c>
      <c r="C39" s="29">
        <v>18700</v>
      </c>
      <c r="D39" s="29">
        <v>7700</v>
      </c>
      <c r="E39" s="29">
        <v>5000</v>
      </c>
      <c r="F39" s="29">
        <v>10300</v>
      </c>
      <c r="L39"/>
    </row>
    <row r="40" spans="1:12">
      <c r="A40" s="8" t="s">
        <v>83</v>
      </c>
      <c r="B40" s="29">
        <v>3800</v>
      </c>
      <c r="C40" s="29">
        <v>12400</v>
      </c>
      <c r="D40" s="29">
        <v>13500</v>
      </c>
      <c r="E40" s="29">
        <v>15800</v>
      </c>
      <c r="F40" s="29">
        <v>1000</v>
      </c>
      <c r="L40"/>
    </row>
    <row r="41" spans="1:12">
      <c r="A41" s="8" t="s">
        <v>85</v>
      </c>
      <c r="B41" s="29">
        <v>5400</v>
      </c>
      <c r="C41" s="29">
        <v>2000</v>
      </c>
      <c r="D41" s="29">
        <v>11000</v>
      </c>
      <c r="E41" s="29">
        <v>19000</v>
      </c>
      <c r="F41" s="29">
        <v>7000</v>
      </c>
      <c r="L41"/>
    </row>
    <row r="42" spans="1:12">
      <c r="A42" s="8" t="s">
        <v>87</v>
      </c>
      <c r="B42" s="29">
        <v>8400</v>
      </c>
      <c r="C42" s="29">
        <v>6300</v>
      </c>
      <c r="D42" s="29">
        <v>4000</v>
      </c>
      <c r="E42" s="29">
        <v>11600</v>
      </c>
      <c r="F42" s="29">
        <v>19100</v>
      </c>
      <c r="L42"/>
    </row>
    <row r="43" spans="1:12">
      <c r="A43" s="8" t="s">
        <v>89</v>
      </c>
      <c r="B43" s="29">
        <v>7800</v>
      </c>
      <c r="C43" s="29">
        <v>8700</v>
      </c>
      <c r="D43" s="29">
        <v>17100</v>
      </c>
      <c r="E43" s="29">
        <v>10900</v>
      </c>
      <c r="F43" s="29">
        <v>14900</v>
      </c>
      <c r="L43"/>
    </row>
    <row r="44" spans="1:12">
      <c r="A44" s="8" t="s">
        <v>91</v>
      </c>
      <c r="B44" s="29">
        <v>12500</v>
      </c>
      <c r="C44" s="29">
        <v>16800</v>
      </c>
      <c r="D44" s="29">
        <v>13400</v>
      </c>
      <c r="E44" s="29">
        <v>5000</v>
      </c>
      <c r="F44" s="29">
        <v>4500</v>
      </c>
      <c r="L44"/>
    </row>
    <row r="45" spans="1:12">
      <c r="A45" s="8" t="s">
        <v>93</v>
      </c>
      <c r="B45" s="29">
        <v>12500</v>
      </c>
      <c r="C45" s="29">
        <v>6600</v>
      </c>
      <c r="D45" s="29">
        <v>6100</v>
      </c>
      <c r="E45" s="29">
        <v>17800</v>
      </c>
      <c r="F45" s="29">
        <v>19400</v>
      </c>
      <c r="L45"/>
    </row>
    <row r="46" spans="1:12">
      <c r="A46" s="8" t="s">
        <v>95</v>
      </c>
      <c r="B46" s="29">
        <v>16500</v>
      </c>
      <c r="C46" s="29">
        <v>14200</v>
      </c>
      <c r="D46" s="29">
        <v>7300</v>
      </c>
      <c r="E46" s="29">
        <v>10900</v>
      </c>
      <c r="F46" s="29">
        <v>14900</v>
      </c>
      <c r="L46"/>
    </row>
    <row r="47" spans="1:12">
      <c r="A47" s="8" t="s">
        <v>97</v>
      </c>
      <c r="B47" s="29">
        <v>6100</v>
      </c>
      <c r="C47" s="29">
        <v>14100</v>
      </c>
      <c r="D47" s="29">
        <v>4700</v>
      </c>
      <c r="E47" s="29">
        <v>16900</v>
      </c>
      <c r="F47" s="29">
        <v>19800</v>
      </c>
      <c r="L47"/>
    </row>
    <row r="48" spans="1:12">
      <c r="A48" s="8" t="s">
        <v>99</v>
      </c>
      <c r="B48" s="29">
        <v>15200</v>
      </c>
      <c r="C48" s="29">
        <v>7200</v>
      </c>
      <c r="D48" s="29">
        <v>11600</v>
      </c>
      <c r="E48" s="29">
        <v>8800</v>
      </c>
      <c r="F48" s="29">
        <v>13500</v>
      </c>
      <c r="L48"/>
    </row>
    <row r="49" spans="1:12">
      <c r="A49" s="8" t="s">
        <v>101</v>
      </c>
      <c r="B49" s="29">
        <v>5700</v>
      </c>
      <c r="C49" s="29">
        <v>11200</v>
      </c>
      <c r="D49" s="29">
        <v>3600</v>
      </c>
      <c r="E49" s="29">
        <v>5600</v>
      </c>
      <c r="F49" s="29">
        <v>6100</v>
      </c>
      <c r="L49"/>
    </row>
    <row r="50" spans="1:12">
      <c r="A50" s="8" t="s">
        <v>103</v>
      </c>
      <c r="B50" s="29">
        <v>18200</v>
      </c>
      <c r="C50" s="29">
        <v>7900</v>
      </c>
      <c r="D50" s="29">
        <v>4800</v>
      </c>
      <c r="E50" s="29">
        <v>4200</v>
      </c>
      <c r="F50" s="29">
        <v>14500</v>
      </c>
      <c r="L50"/>
    </row>
    <row r="51" spans="1:12">
      <c r="A51" s="8" t="s">
        <v>105</v>
      </c>
      <c r="B51" s="29">
        <v>7600</v>
      </c>
      <c r="C51" s="29">
        <v>16100</v>
      </c>
      <c r="D51" s="29">
        <v>8200</v>
      </c>
      <c r="E51" s="29">
        <v>19200</v>
      </c>
      <c r="F51" s="29">
        <v>2900</v>
      </c>
      <c r="L51"/>
    </row>
    <row r="52" spans="1:12">
      <c r="A52" s="8" t="s">
        <v>107</v>
      </c>
      <c r="B52" s="29">
        <v>3000</v>
      </c>
      <c r="C52" s="29">
        <v>19800</v>
      </c>
      <c r="D52" s="29">
        <v>15500</v>
      </c>
      <c r="E52" s="29">
        <v>7000</v>
      </c>
      <c r="F52" s="29">
        <v>11200</v>
      </c>
      <c r="L52"/>
    </row>
    <row r="53" spans="1:12">
      <c r="A53" s="8" t="s">
        <v>109</v>
      </c>
      <c r="B53" s="29">
        <v>10000</v>
      </c>
      <c r="C53" s="29">
        <v>10500</v>
      </c>
      <c r="D53" s="29">
        <v>16600</v>
      </c>
      <c r="E53" s="29">
        <v>2100</v>
      </c>
      <c r="F53" s="29">
        <v>3600</v>
      </c>
      <c r="L53"/>
    </row>
    <row r="54" spans="1:12">
      <c r="A54" s="8" t="s">
        <v>111</v>
      </c>
      <c r="B54" s="29">
        <v>10100</v>
      </c>
      <c r="C54" s="29">
        <v>13700</v>
      </c>
      <c r="D54" s="29">
        <v>5700</v>
      </c>
      <c r="E54" s="29">
        <v>18800</v>
      </c>
      <c r="F54" s="29">
        <v>10200</v>
      </c>
      <c r="L54"/>
    </row>
    <row r="55" spans="1:12">
      <c r="A55" s="8" t="s">
        <v>113</v>
      </c>
      <c r="B55" s="29">
        <v>9200</v>
      </c>
      <c r="C55" s="29">
        <v>1600</v>
      </c>
      <c r="D55" s="29">
        <v>5000</v>
      </c>
      <c r="E55" s="29">
        <v>14400</v>
      </c>
      <c r="F55" s="29">
        <v>15100</v>
      </c>
      <c r="L55"/>
    </row>
    <row r="56" spans="1:12">
      <c r="A56" s="8" t="s">
        <v>115</v>
      </c>
      <c r="B56" s="29">
        <v>8400</v>
      </c>
      <c r="C56" s="29">
        <v>16100</v>
      </c>
      <c r="D56" s="29">
        <v>11500</v>
      </c>
      <c r="E56" s="29">
        <v>7700</v>
      </c>
      <c r="F56" s="29">
        <v>17400</v>
      </c>
      <c r="L56"/>
    </row>
    <row r="57" spans="1:12">
      <c r="A57" s="8" t="s">
        <v>117</v>
      </c>
      <c r="B57" s="29">
        <v>9900</v>
      </c>
      <c r="C57" s="29">
        <v>6800</v>
      </c>
      <c r="D57" s="29">
        <v>1300</v>
      </c>
      <c r="E57" s="29">
        <v>13700</v>
      </c>
      <c r="F57" s="29">
        <v>7500</v>
      </c>
      <c r="L57"/>
    </row>
    <row r="58" spans="1:12">
      <c r="A58" s="8" t="s">
        <v>119</v>
      </c>
      <c r="B58" s="29">
        <v>2200</v>
      </c>
      <c r="C58" s="29">
        <v>7200</v>
      </c>
      <c r="D58" s="29">
        <v>11100</v>
      </c>
      <c r="E58" s="29">
        <v>7500</v>
      </c>
      <c r="F58" s="29">
        <v>6200</v>
      </c>
      <c r="L58"/>
    </row>
    <row r="59" spans="1:12">
      <c r="A59" s="8" t="s">
        <v>121</v>
      </c>
      <c r="B59" s="29">
        <v>5000</v>
      </c>
      <c r="C59" s="29">
        <v>15200</v>
      </c>
      <c r="D59" s="29">
        <v>6800</v>
      </c>
      <c r="E59" s="29">
        <v>7700</v>
      </c>
      <c r="F59" s="29">
        <v>10300</v>
      </c>
      <c r="L59"/>
    </row>
    <row r="60" spans="1:12">
      <c r="A60" s="8" t="s">
        <v>123</v>
      </c>
      <c r="B60" s="29">
        <v>6100</v>
      </c>
      <c r="C60" s="29">
        <v>13200</v>
      </c>
      <c r="D60" s="29">
        <v>6200</v>
      </c>
      <c r="E60" s="29">
        <v>9400</v>
      </c>
      <c r="F60" s="29">
        <v>5000</v>
      </c>
      <c r="L60"/>
    </row>
    <row r="61" spans="1:12">
      <c r="A61" s="8" t="s">
        <v>125</v>
      </c>
      <c r="B61" s="29">
        <v>13400</v>
      </c>
      <c r="C61" s="29">
        <v>5500</v>
      </c>
      <c r="D61" s="29">
        <v>16800</v>
      </c>
      <c r="E61" s="29">
        <v>19300</v>
      </c>
      <c r="F61" s="29">
        <v>6000</v>
      </c>
      <c r="L61"/>
    </row>
    <row r="62" spans="1:12">
      <c r="A62" s="8" t="s">
        <v>127</v>
      </c>
      <c r="B62" s="29">
        <v>6800</v>
      </c>
      <c r="C62" s="29">
        <v>19100</v>
      </c>
      <c r="D62" s="29">
        <v>7200</v>
      </c>
      <c r="E62" s="29">
        <v>12500</v>
      </c>
      <c r="F62" s="29">
        <v>17000</v>
      </c>
      <c r="L62"/>
    </row>
    <row r="63" spans="1:12">
      <c r="A63" s="8" t="s">
        <v>129</v>
      </c>
      <c r="B63" s="29">
        <v>17300</v>
      </c>
      <c r="C63" s="29">
        <v>2100</v>
      </c>
      <c r="D63" s="29">
        <v>5900</v>
      </c>
      <c r="E63" s="29">
        <v>3300</v>
      </c>
      <c r="F63" s="29">
        <v>5200</v>
      </c>
      <c r="L63"/>
    </row>
    <row r="64" spans="1:12">
      <c r="A64" s="8" t="s">
        <v>131</v>
      </c>
      <c r="B64" s="29">
        <v>10900</v>
      </c>
      <c r="C64" s="29">
        <v>15100</v>
      </c>
      <c r="D64" s="29">
        <v>10600</v>
      </c>
      <c r="E64" s="29">
        <v>19900</v>
      </c>
      <c r="F64" s="29">
        <v>4200</v>
      </c>
      <c r="L64"/>
    </row>
    <row r="65" spans="1:12">
      <c r="A65" s="8" t="s">
        <v>133</v>
      </c>
      <c r="B65" s="29">
        <v>16500</v>
      </c>
      <c r="C65" s="29">
        <v>14000</v>
      </c>
      <c r="D65" s="29">
        <v>18000</v>
      </c>
      <c r="E65" s="29">
        <v>6000</v>
      </c>
      <c r="F65" s="29">
        <v>13100</v>
      </c>
      <c r="L65"/>
    </row>
    <row r="66" spans="1:12">
      <c r="A66" s="8" t="s">
        <v>135</v>
      </c>
      <c r="B66" s="29">
        <v>14700</v>
      </c>
      <c r="C66" s="29">
        <v>6100</v>
      </c>
      <c r="D66" s="29">
        <v>17700</v>
      </c>
      <c r="E66" s="29">
        <v>12100</v>
      </c>
      <c r="F66" s="29">
        <v>1300</v>
      </c>
      <c r="L66"/>
    </row>
    <row r="67" spans="1:12">
      <c r="A67" s="8" t="s">
        <v>137</v>
      </c>
      <c r="B67" s="29">
        <v>12000</v>
      </c>
      <c r="C67" s="29">
        <v>2400</v>
      </c>
      <c r="D67" s="29">
        <v>1100</v>
      </c>
      <c r="E67" s="29">
        <v>3300</v>
      </c>
      <c r="F67" s="29">
        <v>15300</v>
      </c>
      <c r="L67"/>
    </row>
    <row r="68" spans="1:12">
      <c r="A68" s="8" t="s">
        <v>139</v>
      </c>
      <c r="B68" s="29">
        <v>3700</v>
      </c>
      <c r="C68" s="29">
        <v>8000</v>
      </c>
      <c r="D68" s="29">
        <v>19600</v>
      </c>
      <c r="E68" s="29">
        <v>8100</v>
      </c>
      <c r="F68" s="29">
        <v>6800</v>
      </c>
      <c r="L68"/>
    </row>
    <row r="69" spans="1:12">
      <c r="A69" s="8" t="s">
        <v>141</v>
      </c>
      <c r="B69" s="29">
        <v>4300</v>
      </c>
      <c r="C69" s="29">
        <v>17500</v>
      </c>
      <c r="D69" s="29">
        <v>1500</v>
      </c>
      <c r="E69" s="29">
        <v>6000</v>
      </c>
      <c r="F69" s="29">
        <v>12700</v>
      </c>
      <c r="L69"/>
    </row>
    <row r="70" spans="1:12">
      <c r="A70" s="8" t="s">
        <v>143</v>
      </c>
      <c r="B70" s="29">
        <v>16900</v>
      </c>
      <c r="C70" s="29">
        <v>10000</v>
      </c>
      <c r="D70" s="29">
        <v>16500</v>
      </c>
      <c r="E70" s="29">
        <v>18800</v>
      </c>
      <c r="F70" s="29">
        <v>5600</v>
      </c>
      <c r="L70"/>
    </row>
    <row r="71" spans="1:12">
      <c r="A71" s="8" t="s">
        <v>145</v>
      </c>
      <c r="B71" s="29">
        <v>14900</v>
      </c>
      <c r="C71" s="29">
        <v>4500</v>
      </c>
      <c r="D71" s="29">
        <v>17100</v>
      </c>
      <c r="E71" s="29">
        <v>1700</v>
      </c>
      <c r="F71" s="29">
        <v>11100</v>
      </c>
      <c r="L71"/>
    </row>
    <row r="72" spans="1:12">
      <c r="A72" s="8" t="s">
        <v>147</v>
      </c>
      <c r="B72" s="29">
        <v>19300</v>
      </c>
      <c r="C72" s="29">
        <v>17500</v>
      </c>
      <c r="D72" s="29">
        <v>13500</v>
      </c>
      <c r="E72" s="29">
        <v>6700</v>
      </c>
      <c r="F72" s="29">
        <v>10200</v>
      </c>
      <c r="L72"/>
    </row>
    <row r="73" spans="1:12">
      <c r="A73" s="8" t="s">
        <v>149</v>
      </c>
      <c r="B73" s="29">
        <v>11200</v>
      </c>
      <c r="C73" s="29">
        <v>8700</v>
      </c>
      <c r="D73" s="29">
        <v>10700</v>
      </c>
      <c r="E73" s="29">
        <v>14900</v>
      </c>
      <c r="F73" s="29">
        <v>8300</v>
      </c>
      <c r="L73"/>
    </row>
    <row r="74" spans="1:12">
      <c r="A74" s="8" t="s">
        <v>151</v>
      </c>
      <c r="B74" s="29">
        <v>8100</v>
      </c>
      <c r="C74" s="29">
        <v>10500</v>
      </c>
      <c r="D74" s="29">
        <v>14600</v>
      </c>
      <c r="E74" s="29">
        <v>19200</v>
      </c>
      <c r="F74" s="29">
        <v>18100</v>
      </c>
      <c r="L74"/>
    </row>
    <row r="75" spans="1:12">
      <c r="A75" s="8" t="s">
        <v>153</v>
      </c>
      <c r="B75" s="29">
        <v>9700</v>
      </c>
      <c r="C75" s="29">
        <v>15600</v>
      </c>
      <c r="D75" s="29">
        <v>17400</v>
      </c>
      <c r="E75" s="29">
        <v>10400</v>
      </c>
      <c r="F75" s="29">
        <v>6200</v>
      </c>
      <c r="L75"/>
    </row>
    <row r="76" spans="1:12">
      <c r="A76" s="8" t="s">
        <v>155</v>
      </c>
      <c r="B76" s="29">
        <v>16900</v>
      </c>
      <c r="C76" s="29">
        <v>19700</v>
      </c>
      <c r="D76" s="29">
        <v>2200</v>
      </c>
      <c r="E76" s="29">
        <v>13700</v>
      </c>
      <c r="F76" s="29">
        <v>19700</v>
      </c>
      <c r="L76"/>
    </row>
    <row r="77" spans="1:12">
      <c r="A77" s="8" t="s">
        <v>157</v>
      </c>
      <c r="B77" s="29">
        <v>5800</v>
      </c>
      <c r="C77" s="29">
        <v>10300</v>
      </c>
      <c r="D77" s="29">
        <v>19400</v>
      </c>
      <c r="E77" s="29">
        <v>3200</v>
      </c>
      <c r="F77" s="29">
        <v>17000</v>
      </c>
      <c r="L77"/>
    </row>
    <row r="78" spans="1:12">
      <c r="A78" s="8" t="s">
        <v>159</v>
      </c>
      <c r="B78" s="29">
        <v>15200</v>
      </c>
      <c r="C78" s="29">
        <v>8300</v>
      </c>
      <c r="D78" s="29">
        <v>1600</v>
      </c>
      <c r="E78" s="29">
        <v>14200</v>
      </c>
      <c r="F78" s="29">
        <v>18700</v>
      </c>
      <c r="L78"/>
    </row>
    <row r="79" spans="1:12">
      <c r="A79" s="8" t="s">
        <v>161</v>
      </c>
      <c r="B79" s="29">
        <v>2100</v>
      </c>
      <c r="C79" s="29">
        <v>19400</v>
      </c>
      <c r="D79" s="29">
        <v>2700</v>
      </c>
      <c r="E79" s="29">
        <v>1200</v>
      </c>
      <c r="F79" s="29">
        <v>8100</v>
      </c>
      <c r="L79"/>
    </row>
    <row r="80" spans="1:12">
      <c r="A80" s="8" t="s">
        <v>163</v>
      </c>
      <c r="B80" s="29">
        <v>3100</v>
      </c>
      <c r="C80" s="29">
        <v>7400</v>
      </c>
      <c r="D80" s="29">
        <v>6800</v>
      </c>
      <c r="E80" s="29">
        <v>17600</v>
      </c>
      <c r="F80" s="29">
        <v>18300</v>
      </c>
      <c r="L80"/>
    </row>
    <row r="81" spans="1:12">
      <c r="A81" s="8" t="s">
        <v>165</v>
      </c>
      <c r="B81" s="29">
        <v>1100</v>
      </c>
      <c r="C81" s="29">
        <v>16900</v>
      </c>
      <c r="D81" s="29">
        <v>16300</v>
      </c>
      <c r="E81" s="29">
        <v>4300</v>
      </c>
      <c r="F81" s="29">
        <v>8400</v>
      </c>
      <c r="L81"/>
    </row>
    <row r="82" spans="1:12">
      <c r="A82" s="8" t="s">
        <v>167</v>
      </c>
      <c r="B82" s="29">
        <v>16100</v>
      </c>
      <c r="C82" s="29">
        <v>11800</v>
      </c>
      <c r="D82" s="29">
        <v>3100</v>
      </c>
      <c r="E82" s="29">
        <v>3400</v>
      </c>
      <c r="F82" s="29">
        <v>8500</v>
      </c>
      <c r="L82"/>
    </row>
    <row r="83" spans="1:12">
      <c r="A83" s="8" t="s">
        <v>169</v>
      </c>
      <c r="B83" s="29">
        <v>16200</v>
      </c>
      <c r="C83" s="29">
        <v>9500</v>
      </c>
      <c r="D83" s="29">
        <v>7500</v>
      </c>
      <c r="E83" s="29">
        <v>11500</v>
      </c>
      <c r="F83" s="29">
        <v>12700</v>
      </c>
      <c r="L83"/>
    </row>
    <row r="84" spans="1:12">
      <c r="A84" s="8" t="s">
        <v>171</v>
      </c>
      <c r="B84" s="29">
        <v>7600</v>
      </c>
      <c r="C84" s="29">
        <v>15200</v>
      </c>
      <c r="D84" s="29">
        <v>3500</v>
      </c>
      <c r="E84" s="29">
        <v>8700</v>
      </c>
      <c r="F84" s="29">
        <v>7100</v>
      </c>
      <c r="L84"/>
    </row>
    <row r="85" spans="1:12">
      <c r="A85" s="8" t="s">
        <v>173</v>
      </c>
      <c r="B85" s="29">
        <v>14600</v>
      </c>
      <c r="C85" s="29">
        <v>2600</v>
      </c>
      <c r="D85" s="29">
        <v>15000</v>
      </c>
      <c r="E85" s="29">
        <v>10900</v>
      </c>
      <c r="F85" s="29">
        <v>11700</v>
      </c>
      <c r="L85"/>
    </row>
    <row r="86" spans="1:12">
      <c r="A86" s="8" t="s">
        <v>175</v>
      </c>
      <c r="B86" s="29">
        <v>9400</v>
      </c>
      <c r="C86" s="29">
        <v>13500</v>
      </c>
      <c r="D86" s="29">
        <v>16800</v>
      </c>
      <c r="E86" s="29">
        <v>18800</v>
      </c>
      <c r="F86" s="29">
        <v>3400</v>
      </c>
      <c r="L86"/>
    </row>
    <row r="87" spans="1:12">
      <c r="A87" s="8" t="s">
        <v>177</v>
      </c>
      <c r="B87" s="29">
        <v>11900</v>
      </c>
      <c r="C87" s="29">
        <v>12500</v>
      </c>
      <c r="D87" s="29">
        <v>16100</v>
      </c>
      <c r="E87" s="29">
        <v>18300</v>
      </c>
      <c r="F87" s="29">
        <v>4400</v>
      </c>
      <c r="L87"/>
    </row>
    <row r="88" spans="1:12">
      <c r="A88" s="8" t="s">
        <v>179</v>
      </c>
      <c r="B88" s="29">
        <v>7200</v>
      </c>
      <c r="C88" s="29">
        <v>15600</v>
      </c>
      <c r="D88" s="29">
        <v>5000</v>
      </c>
      <c r="E88" s="29">
        <v>11200</v>
      </c>
      <c r="F88" s="29">
        <v>19800</v>
      </c>
      <c r="L88"/>
    </row>
    <row r="89" spans="1:12">
      <c r="A89" s="8" t="s">
        <v>181</v>
      </c>
      <c r="B89" s="29">
        <v>12100</v>
      </c>
      <c r="C89" s="29">
        <v>15100</v>
      </c>
      <c r="D89" s="29">
        <v>2100</v>
      </c>
      <c r="E89" s="29">
        <v>5800</v>
      </c>
      <c r="F89" s="29">
        <v>7200</v>
      </c>
      <c r="L89"/>
    </row>
    <row r="90" spans="1:12">
      <c r="A90" s="8" t="s">
        <v>183</v>
      </c>
      <c r="B90" s="29">
        <v>17100</v>
      </c>
      <c r="C90" s="29">
        <v>14800</v>
      </c>
      <c r="D90" s="29">
        <v>6000</v>
      </c>
      <c r="E90" s="29">
        <v>4400</v>
      </c>
      <c r="F90" s="29">
        <v>1000</v>
      </c>
      <c r="L90"/>
    </row>
    <row r="91" spans="1:12">
      <c r="A91" s="8" t="s">
        <v>185</v>
      </c>
      <c r="B91" s="29">
        <v>17000</v>
      </c>
      <c r="C91" s="29">
        <v>18100</v>
      </c>
      <c r="D91" s="29">
        <v>8300</v>
      </c>
      <c r="E91" s="29">
        <v>6200</v>
      </c>
      <c r="F91" s="29">
        <v>9600</v>
      </c>
      <c r="L91"/>
    </row>
    <row r="92" spans="1:12">
      <c r="A92" s="8" t="s">
        <v>187</v>
      </c>
      <c r="B92" s="29">
        <v>18100</v>
      </c>
      <c r="C92" s="29">
        <v>14200</v>
      </c>
      <c r="D92" s="29">
        <v>11100</v>
      </c>
      <c r="E92" s="29">
        <v>20000</v>
      </c>
      <c r="F92" s="29">
        <v>7000</v>
      </c>
      <c r="L92"/>
    </row>
    <row r="93" spans="1:12">
      <c r="A93" s="8" t="s">
        <v>189</v>
      </c>
      <c r="B93" s="29">
        <v>12900</v>
      </c>
      <c r="C93" s="29">
        <v>18600</v>
      </c>
      <c r="D93" s="29">
        <v>8000</v>
      </c>
      <c r="E93" s="29">
        <v>7800</v>
      </c>
      <c r="F93" s="29">
        <v>12000</v>
      </c>
      <c r="L93"/>
    </row>
    <row r="94" spans="1:12">
      <c r="A94" s="8" t="s">
        <v>191</v>
      </c>
      <c r="B94" s="29">
        <v>14900</v>
      </c>
      <c r="C94" s="29">
        <v>17500</v>
      </c>
      <c r="D94" s="29">
        <v>12700</v>
      </c>
      <c r="E94" s="29">
        <v>3900</v>
      </c>
      <c r="F94" s="29">
        <v>10900</v>
      </c>
      <c r="L94"/>
    </row>
    <row r="95" spans="1:12">
      <c r="A95" s="8" t="s">
        <v>193</v>
      </c>
      <c r="B95" s="29">
        <v>14200</v>
      </c>
      <c r="C95" s="29">
        <v>6400</v>
      </c>
      <c r="D95" s="29">
        <v>18300</v>
      </c>
      <c r="E95" s="29">
        <v>13900</v>
      </c>
      <c r="F95" s="29">
        <v>2900</v>
      </c>
      <c r="L95"/>
    </row>
    <row r="96" spans="1:12">
      <c r="A96" s="8" t="s">
        <v>195</v>
      </c>
      <c r="B96" s="29">
        <v>9500</v>
      </c>
      <c r="C96" s="29">
        <v>14200</v>
      </c>
      <c r="D96" s="29">
        <v>6800</v>
      </c>
      <c r="E96" s="29">
        <v>9200</v>
      </c>
      <c r="F96" s="29">
        <v>8600</v>
      </c>
      <c r="L96"/>
    </row>
    <row r="97" spans="1:12">
      <c r="A97" s="8" t="s">
        <v>197</v>
      </c>
      <c r="B97" s="29">
        <v>17200</v>
      </c>
      <c r="C97" s="29">
        <v>10100</v>
      </c>
      <c r="D97" s="29">
        <v>9400</v>
      </c>
      <c r="E97" s="29">
        <v>3900</v>
      </c>
      <c r="F97" s="29">
        <v>1400</v>
      </c>
      <c r="L97"/>
    </row>
    <row r="98" spans="1:12">
      <c r="A98" s="8" t="s">
        <v>199</v>
      </c>
      <c r="B98" s="29">
        <v>9400</v>
      </c>
      <c r="C98" s="29">
        <v>16400</v>
      </c>
      <c r="D98" s="29">
        <v>4400</v>
      </c>
      <c r="E98" s="29">
        <v>20000</v>
      </c>
      <c r="F98" s="29">
        <v>4900</v>
      </c>
      <c r="L98"/>
    </row>
    <row r="99" spans="1:12">
      <c r="A99" s="8" t="s">
        <v>201</v>
      </c>
      <c r="B99" s="29">
        <v>12500</v>
      </c>
      <c r="C99" s="29">
        <v>3600</v>
      </c>
      <c r="D99" s="29">
        <v>5200</v>
      </c>
      <c r="E99" s="29">
        <v>18700</v>
      </c>
      <c r="F99" s="29">
        <v>3100</v>
      </c>
      <c r="L99"/>
    </row>
    <row r="100" spans="1:12">
      <c r="A100" s="8" t="s">
        <v>203</v>
      </c>
      <c r="B100" s="29">
        <v>18600</v>
      </c>
      <c r="C100" s="29">
        <v>14800</v>
      </c>
      <c r="D100" s="29">
        <v>16200</v>
      </c>
      <c r="E100" s="29">
        <v>17000</v>
      </c>
      <c r="F100" s="29">
        <v>15200</v>
      </c>
      <c r="L100"/>
    </row>
    <row r="101" spans="1:12">
      <c r="A101" s="8" t="s">
        <v>205</v>
      </c>
      <c r="B101" s="29">
        <v>4700</v>
      </c>
      <c r="C101" s="29">
        <v>4000</v>
      </c>
      <c r="D101" s="29">
        <v>16800</v>
      </c>
      <c r="E101" s="29">
        <v>11900</v>
      </c>
      <c r="F101" s="29">
        <v>8500</v>
      </c>
      <c r="L101"/>
    </row>
    <row r="102" spans="1:12">
      <c r="A102" s="8"/>
      <c r="B102" s="1"/>
      <c r="C102" s="6"/>
      <c r="D102" s="8"/>
      <c r="E102" s="8"/>
      <c r="F102" s="8"/>
      <c r="L102"/>
    </row>
    <row r="103" spans="1:12">
      <c r="A103" s="8"/>
      <c r="B103" s="1"/>
      <c r="C103" s="6"/>
      <c r="D103" s="8"/>
      <c r="E103" s="8"/>
      <c r="F103" s="8"/>
      <c r="L103"/>
    </row>
    <row r="104" spans="1:12">
      <c r="A104" s="8"/>
      <c r="B104" s="1"/>
      <c r="C104" s="6"/>
      <c r="D104" s="8"/>
      <c r="E104" s="8"/>
      <c r="F104" s="8"/>
      <c r="L104"/>
    </row>
    <row r="105" spans="1:12">
      <c r="A105" s="8"/>
      <c r="B105" s="1"/>
      <c r="C105" s="6"/>
      <c r="D105" s="8"/>
      <c r="E105" s="8"/>
      <c r="F105" s="8"/>
      <c r="L105"/>
    </row>
    <row r="106" spans="1:12">
      <c r="A106" s="8"/>
      <c r="B106" s="1"/>
      <c r="C106" s="6"/>
      <c r="D106" s="8"/>
      <c r="E106" s="8"/>
      <c r="F106" s="8"/>
      <c r="L106"/>
    </row>
    <row r="107" spans="1:12">
      <c r="A107" s="8"/>
      <c r="B107" s="1"/>
      <c r="C107" s="6"/>
      <c r="D107" s="8"/>
      <c r="E107" s="8"/>
      <c r="F107" s="8"/>
      <c r="L107"/>
    </row>
    <row r="108" spans="1:12">
      <c r="A108" s="8"/>
      <c r="B108" s="1"/>
      <c r="C108" s="6"/>
      <c r="D108" s="8"/>
      <c r="E108" s="8"/>
      <c r="F108" s="8"/>
      <c r="L108"/>
    </row>
    <row r="109" spans="1:12">
      <c r="A109" s="8"/>
      <c r="B109" s="1"/>
      <c r="C109" s="6"/>
      <c r="D109" s="8"/>
      <c r="E109" s="8"/>
      <c r="F109" s="8"/>
      <c r="L109"/>
    </row>
    <row r="110" spans="1:12">
      <c r="A110" s="8"/>
      <c r="B110" s="1"/>
      <c r="C110" s="6"/>
      <c r="D110" s="8"/>
      <c r="E110" s="8"/>
      <c r="F110" s="8"/>
      <c r="L110"/>
    </row>
    <row r="111" spans="1:12">
      <c r="A111" s="8"/>
      <c r="B111" s="1"/>
      <c r="C111" s="6"/>
      <c r="D111" s="8"/>
      <c r="E111" s="8"/>
      <c r="F111" s="8"/>
      <c r="L111"/>
    </row>
    <row r="112" spans="1:12">
      <c r="A112" s="8"/>
      <c r="B112" s="1"/>
      <c r="C112" s="6"/>
      <c r="D112" s="8"/>
      <c r="E112" s="8"/>
      <c r="F112" s="8"/>
      <c r="L112"/>
    </row>
    <row r="113" spans="1:12">
      <c r="A113" s="8"/>
      <c r="B113" s="1"/>
      <c r="C113" s="6"/>
      <c r="D113" s="8"/>
      <c r="E113" s="8"/>
      <c r="F113" s="8"/>
      <c r="L113"/>
    </row>
    <row r="114" spans="1:12">
      <c r="A114" s="8"/>
      <c r="B114" s="1"/>
      <c r="C114" s="6"/>
      <c r="D114" s="8"/>
      <c r="E114" s="8"/>
      <c r="F114" s="8"/>
      <c r="L114"/>
    </row>
    <row r="115" spans="1:12">
      <c r="A115" s="8"/>
      <c r="B115" s="1"/>
      <c r="C115" s="6"/>
      <c r="D115" s="8"/>
      <c r="E115" s="8"/>
      <c r="F115" s="8"/>
      <c r="L115"/>
    </row>
    <row r="116" spans="1:12">
      <c r="A116" s="8"/>
      <c r="B116" s="1"/>
      <c r="C116" s="6"/>
      <c r="D116" s="8"/>
      <c r="E116" s="8"/>
      <c r="F116" s="8"/>
      <c r="L116"/>
    </row>
    <row r="117" spans="1:12">
      <c r="A117" s="8"/>
      <c r="B117" s="1"/>
      <c r="C117" s="6"/>
      <c r="D117" s="8"/>
      <c r="E117" s="8"/>
      <c r="F117" s="8"/>
      <c r="L117"/>
    </row>
    <row r="118" spans="1:12">
      <c r="A118" s="8"/>
      <c r="B118" s="1"/>
      <c r="C118" s="6"/>
      <c r="D118" s="8"/>
      <c r="E118" s="8"/>
      <c r="F118" s="8"/>
      <c r="L118"/>
    </row>
    <row r="119" spans="1:12">
      <c r="A119" s="8"/>
      <c r="B119" s="1"/>
      <c r="C119" s="6"/>
      <c r="D119" s="8"/>
      <c r="E119" s="8"/>
      <c r="F119" s="8"/>
      <c r="L119"/>
    </row>
    <row r="120" spans="1:12">
      <c r="A120" s="8"/>
      <c r="B120" s="1"/>
      <c r="C120" s="6"/>
      <c r="D120" s="8"/>
      <c r="E120" s="8"/>
      <c r="F120" s="8"/>
      <c r="L120"/>
    </row>
    <row r="121" spans="1:12">
      <c r="A121" s="8"/>
      <c r="B121" s="1"/>
      <c r="C121" s="6"/>
      <c r="D121" s="8"/>
      <c r="E121" s="8"/>
      <c r="F121" s="8"/>
      <c r="L121"/>
    </row>
    <row r="122" spans="1:12">
      <c r="A122" s="8"/>
      <c r="B122" s="1"/>
      <c r="C122" s="6"/>
      <c r="D122" s="8"/>
      <c r="E122" s="8"/>
      <c r="F122" s="8"/>
      <c r="L122"/>
    </row>
    <row r="123" spans="1:12">
      <c r="A123" s="8"/>
      <c r="B123" s="1"/>
      <c r="C123" s="6"/>
      <c r="D123" s="8"/>
      <c r="E123" s="8"/>
      <c r="F123" s="8"/>
      <c r="L123"/>
    </row>
    <row r="124" spans="1:12">
      <c r="A124" s="8"/>
      <c r="B124" s="1"/>
      <c r="C124" s="6"/>
      <c r="D124" s="8"/>
      <c r="E124" s="8"/>
      <c r="F124" s="8"/>
      <c r="L124"/>
    </row>
    <row r="125" spans="1:12">
      <c r="A125" s="8"/>
      <c r="B125" s="1"/>
      <c r="C125" s="6"/>
      <c r="D125" s="8"/>
      <c r="E125" s="8"/>
      <c r="F125" s="8"/>
      <c r="L125"/>
    </row>
    <row r="126" spans="1:12">
      <c r="A126" s="8"/>
      <c r="B126" s="1"/>
      <c r="C126" s="6"/>
      <c r="D126" s="8"/>
      <c r="E126" s="8"/>
      <c r="F126" s="8"/>
      <c r="L126"/>
    </row>
    <row r="127" spans="1:12">
      <c r="A127" s="8"/>
      <c r="B127" s="1"/>
      <c r="C127" s="6"/>
      <c r="D127" s="8"/>
      <c r="E127" s="8"/>
      <c r="F127" s="8"/>
      <c r="L127"/>
    </row>
    <row r="128" spans="1:12">
      <c r="A128" s="8"/>
      <c r="B128" s="1"/>
      <c r="C128" s="6"/>
      <c r="D128" s="8"/>
      <c r="E128" s="8"/>
      <c r="F128" s="8"/>
      <c r="L128"/>
    </row>
    <row r="129" spans="1:12">
      <c r="A129" s="8"/>
      <c r="B129" s="1"/>
      <c r="C129" s="6"/>
      <c r="D129" s="8"/>
      <c r="E129" s="8"/>
      <c r="F129" s="8"/>
      <c r="L129"/>
    </row>
    <row r="130" spans="1:12">
      <c r="A130" s="8"/>
      <c r="B130" s="1"/>
      <c r="C130" s="6"/>
      <c r="D130" s="8"/>
      <c r="E130" s="8"/>
      <c r="F130" s="8"/>
      <c r="L130"/>
    </row>
    <row r="131" spans="1:12">
      <c r="A131" s="8"/>
      <c r="B131" s="1"/>
      <c r="C131" s="6"/>
      <c r="D131" s="8"/>
      <c r="E131" s="8"/>
      <c r="F131" s="8"/>
      <c r="L131"/>
    </row>
    <row r="132" spans="1:12">
      <c r="A132" s="8"/>
      <c r="B132" s="1"/>
      <c r="C132" s="6"/>
      <c r="D132" s="8"/>
      <c r="E132" s="8"/>
      <c r="F132" s="8"/>
      <c r="L132"/>
    </row>
    <row r="133" spans="1:12">
      <c r="A133" s="8"/>
      <c r="B133" s="1"/>
      <c r="C133" s="6"/>
      <c r="D133" s="8"/>
      <c r="E133" s="8"/>
      <c r="F133" s="8"/>
      <c r="L133"/>
    </row>
    <row r="134" spans="1:12">
      <c r="A134" s="8"/>
      <c r="B134" s="1"/>
      <c r="C134" s="6"/>
      <c r="D134" s="8"/>
      <c r="E134" s="8"/>
      <c r="F134" s="8"/>
      <c r="L134"/>
    </row>
    <row r="135" spans="1:12">
      <c r="A135" s="8"/>
      <c r="B135" s="1"/>
      <c r="C135" s="6"/>
      <c r="D135" s="8"/>
      <c r="E135" s="8"/>
      <c r="F135" s="8"/>
      <c r="L135"/>
    </row>
    <row r="136" spans="1:12">
      <c r="A136" s="8"/>
      <c r="B136" s="1"/>
      <c r="C136" s="6"/>
      <c r="D136" s="8"/>
      <c r="E136" s="8"/>
      <c r="F136" s="8"/>
      <c r="L136"/>
    </row>
    <row r="137" spans="1:12">
      <c r="A137" s="8"/>
      <c r="B137" s="1"/>
      <c r="C137" s="6"/>
      <c r="D137" s="8"/>
      <c r="E137" s="8"/>
      <c r="F137" s="8"/>
      <c r="L137"/>
    </row>
    <row r="138" spans="1:12">
      <c r="A138" s="8"/>
      <c r="B138" s="1"/>
      <c r="C138" s="6"/>
      <c r="D138" s="8"/>
      <c r="E138" s="8"/>
      <c r="F138" s="8"/>
      <c r="L138"/>
    </row>
    <row r="139" spans="1:12">
      <c r="A139" s="8"/>
      <c r="B139" s="1"/>
      <c r="C139" s="6"/>
      <c r="D139" s="8"/>
      <c r="E139" s="8"/>
      <c r="F139" s="8"/>
      <c r="L139"/>
    </row>
    <row r="140" spans="1:12">
      <c r="A140" s="8"/>
      <c r="B140" s="1"/>
      <c r="C140" s="6"/>
      <c r="D140" s="8"/>
      <c r="E140" s="8"/>
      <c r="F140" s="8"/>
      <c r="L140"/>
    </row>
    <row r="141" spans="1:12">
      <c r="A141" s="8"/>
      <c r="B141" s="1"/>
      <c r="C141" s="6"/>
      <c r="D141" s="8"/>
      <c r="E141" s="8"/>
      <c r="F141" s="8"/>
      <c r="L141"/>
    </row>
    <row r="142" spans="1:12">
      <c r="A142" s="8"/>
      <c r="B142" s="1"/>
      <c r="C142" s="6"/>
      <c r="D142" s="8"/>
      <c r="E142" s="8"/>
      <c r="F142" s="8"/>
      <c r="L142"/>
    </row>
    <row r="143" spans="1:12">
      <c r="A143" s="8"/>
      <c r="B143" s="1"/>
      <c r="C143" s="6"/>
      <c r="D143" s="8"/>
      <c r="E143" s="8"/>
      <c r="F143" s="8"/>
      <c r="L143"/>
    </row>
    <row r="144" spans="1:12">
      <c r="A144" s="8"/>
      <c r="B144" s="1"/>
      <c r="C144" s="6"/>
      <c r="D144" s="8"/>
      <c r="E144" s="8"/>
      <c r="F144" s="8"/>
      <c r="L144"/>
    </row>
    <row r="145" spans="1:12">
      <c r="A145" s="8"/>
      <c r="B145" s="1"/>
      <c r="C145" s="6"/>
      <c r="D145" s="8"/>
      <c r="E145" s="8"/>
      <c r="F145" s="8"/>
      <c r="L145"/>
    </row>
    <row r="146" spans="1:12">
      <c r="A146" s="8"/>
      <c r="B146" s="1"/>
      <c r="C146" s="6"/>
      <c r="D146" s="8"/>
      <c r="E146" s="8"/>
      <c r="F146" s="8"/>
      <c r="L146"/>
    </row>
    <row r="147" spans="1:12">
      <c r="A147" s="8"/>
      <c r="B147" s="1"/>
      <c r="C147" s="6"/>
      <c r="D147" s="8"/>
      <c r="E147" s="8"/>
      <c r="F147" s="8"/>
      <c r="L147"/>
    </row>
    <row r="148" spans="1:12">
      <c r="A148" s="8"/>
      <c r="B148" s="1"/>
      <c r="C148" s="6"/>
      <c r="D148" s="8"/>
      <c r="E148" s="8"/>
      <c r="F148" s="8"/>
      <c r="L148"/>
    </row>
    <row r="149" spans="1:12">
      <c r="A149" s="8"/>
      <c r="B149" s="1"/>
      <c r="C149" s="6"/>
      <c r="D149" s="8"/>
      <c r="E149" s="8"/>
      <c r="F149" s="8"/>
      <c r="L149"/>
    </row>
    <row r="150" spans="1:12">
      <c r="A150" s="8"/>
      <c r="B150" s="1"/>
      <c r="C150" s="6"/>
      <c r="D150" s="8"/>
      <c r="E150" s="8"/>
      <c r="F150" s="8"/>
      <c r="L150"/>
    </row>
    <row r="151" spans="1:12">
      <c r="A151" s="8"/>
      <c r="B151" s="1"/>
      <c r="C151" s="6"/>
      <c r="D151" s="8"/>
      <c r="E151" s="8"/>
      <c r="F151" s="8"/>
      <c r="L151"/>
    </row>
    <row r="152" spans="1:12">
      <c r="A152" s="8"/>
      <c r="B152" s="1"/>
      <c r="C152" s="6"/>
      <c r="D152" s="8"/>
      <c r="E152" s="8"/>
      <c r="F152" s="8"/>
      <c r="L152"/>
    </row>
    <row r="153" spans="1:12">
      <c r="A153" s="8"/>
      <c r="B153" s="1"/>
      <c r="C153" s="6"/>
      <c r="D153" s="8"/>
      <c r="E153" s="8"/>
      <c r="F153" s="8"/>
      <c r="L153"/>
    </row>
    <row r="154" spans="1:12">
      <c r="A154" s="8"/>
      <c r="B154" s="1"/>
      <c r="C154" s="6"/>
      <c r="D154" s="8"/>
      <c r="E154" s="8"/>
      <c r="F154" s="8"/>
      <c r="L154"/>
    </row>
    <row r="155" spans="1:12">
      <c r="A155" s="8"/>
      <c r="B155" s="1"/>
      <c r="C155" s="6"/>
      <c r="D155" s="8"/>
      <c r="E155" s="8"/>
      <c r="F155" s="8"/>
      <c r="L155"/>
    </row>
    <row r="156" spans="1:12">
      <c r="A156" s="8"/>
      <c r="B156" s="1"/>
      <c r="C156" s="6"/>
      <c r="D156" s="8"/>
      <c r="E156" s="8"/>
      <c r="F156" s="8"/>
      <c r="L156"/>
    </row>
    <row r="157" spans="1:12">
      <c r="A157" s="8"/>
      <c r="B157" s="1"/>
      <c r="C157" s="6"/>
      <c r="D157" s="8"/>
      <c r="E157" s="8"/>
      <c r="F157" s="8"/>
      <c r="L157"/>
    </row>
    <row r="158" spans="1:12">
      <c r="A158" s="8"/>
      <c r="B158" s="1"/>
      <c r="C158" s="6"/>
      <c r="D158" s="8"/>
      <c r="E158" s="8"/>
      <c r="F158" s="8"/>
      <c r="L158"/>
    </row>
    <row r="159" spans="1:12">
      <c r="A159" s="8"/>
      <c r="B159" s="1"/>
      <c r="C159" s="6"/>
      <c r="D159" s="8"/>
      <c r="E159" s="8"/>
      <c r="F159" s="8"/>
      <c r="L159"/>
    </row>
    <row r="160" spans="1:12">
      <c r="A160" s="8"/>
      <c r="B160" s="1"/>
      <c r="C160" s="6"/>
      <c r="D160" s="8"/>
      <c r="E160" s="8"/>
      <c r="F160" s="8"/>
      <c r="L160"/>
    </row>
    <row r="161" spans="1:12">
      <c r="A161" s="8"/>
      <c r="B161" s="1"/>
      <c r="C161" s="6"/>
      <c r="D161" s="8"/>
      <c r="E161" s="8"/>
      <c r="F161" s="8"/>
      <c r="L161"/>
    </row>
    <row r="162" spans="1:12">
      <c r="A162" s="8"/>
      <c r="B162" s="1"/>
      <c r="C162" s="6"/>
      <c r="D162" s="8"/>
      <c r="E162" s="8"/>
      <c r="F162" s="8"/>
      <c r="L162"/>
    </row>
    <row r="163" spans="1:12">
      <c r="A163" s="8"/>
      <c r="B163" s="1"/>
      <c r="C163" s="6"/>
      <c r="D163" s="8"/>
      <c r="E163" s="8"/>
      <c r="F163" s="8"/>
      <c r="L163"/>
    </row>
    <row r="164" spans="1:12">
      <c r="A164" s="8"/>
      <c r="B164" s="1"/>
      <c r="C164" s="6"/>
      <c r="D164" s="8"/>
      <c r="E164" s="8"/>
      <c r="F164" s="8"/>
      <c r="L164"/>
    </row>
    <row r="165" spans="1:12">
      <c r="A165" s="8"/>
      <c r="B165" s="1"/>
      <c r="C165" s="6"/>
      <c r="D165" s="8"/>
      <c r="E165" s="8"/>
      <c r="F165" s="8"/>
      <c r="L165"/>
    </row>
    <row r="166" spans="1:12">
      <c r="A166" s="8"/>
      <c r="B166" s="1"/>
      <c r="C166" s="6"/>
      <c r="D166" s="8"/>
      <c r="E166" s="8"/>
      <c r="F166" s="8"/>
      <c r="L166"/>
    </row>
    <row r="167" spans="1:12">
      <c r="A167" s="8"/>
      <c r="B167" s="1"/>
      <c r="C167" s="6"/>
      <c r="D167" s="8"/>
      <c r="E167" s="8"/>
      <c r="F167" s="8"/>
      <c r="L167"/>
    </row>
    <row r="168" spans="1:12">
      <c r="A168" s="8"/>
      <c r="B168" s="1"/>
      <c r="C168" s="6"/>
      <c r="D168" s="8"/>
      <c r="E168" s="8"/>
      <c r="F168" s="8"/>
      <c r="L168"/>
    </row>
    <row r="169" spans="1:12">
      <c r="A169" s="8"/>
      <c r="B169" s="1"/>
      <c r="C169" s="6"/>
      <c r="D169" s="8"/>
      <c r="E169" s="8"/>
      <c r="F169" s="8"/>
      <c r="L169"/>
    </row>
    <row r="170" spans="1:12">
      <c r="A170" s="8"/>
      <c r="B170" s="1"/>
      <c r="C170" s="6"/>
      <c r="D170" s="8"/>
      <c r="E170" s="8"/>
      <c r="F170" s="8"/>
      <c r="L170"/>
    </row>
    <row r="171" spans="1:12">
      <c r="A171" s="8"/>
      <c r="B171" s="1"/>
      <c r="C171" s="6"/>
      <c r="D171" s="8"/>
      <c r="E171" s="8"/>
      <c r="F171" s="8"/>
      <c r="L171"/>
    </row>
    <row r="172" spans="1:12">
      <c r="A172" s="8"/>
      <c r="B172" s="1"/>
      <c r="C172" s="6"/>
      <c r="D172" s="8"/>
      <c r="E172" s="8"/>
      <c r="F172" s="8"/>
      <c r="L172"/>
    </row>
    <row r="173" spans="1:12">
      <c r="A173" s="8"/>
      <c r="B173" s="1"/>
      <c r="C173" s="6"/>
      <c r="D173" s="8"/>
      <c r="E173" s="8"/>
      <c r="F173" s="8"/>
      <c r="L173"/>
    </row>
    <row r="174" spans="1:12">
      <c r="A174" s="8"/>
      <c r="B174" s="1"/>
      <c r="C174" s="6"/>
      <c r="D174" s="8"/>
      <c r="E174" s="8"/>
      <c r="F174" s="8"/>
      <c r="L174"/>
    </row>
    <row r="175" spans="1:12">
      <c r="A175" s="8"/>
      <c r="B175" s="1"/>
      <c r="C175" s="6"/>
      <c r="D175" s="8"/>
      <c r="E175" s="8"/>
      <c r="F175" s="8"/>
      <c r="L175"/>
    </row>
    <row r="176" spans="1:12">
      <c r="A176" s="8"/>
      <c r="B176" s="1"/>
      <c r="C176" s="6"/>
      <c r="D176" s="8"/>
      <c r="E176" s="8"/>
      <c r="F176" s="8"/>
      <c r="L176"/>
    </row>
    <row r="177" spans="1:12">
      <c r="A177" s="8"/>
      <c r="B177" s="1"/>
      <c r="C177" s="6"/>
      <c r="D177" s="8"/>
      <c r="E177" s="8"/>
      <c r="F177" s="8"/>
      <c r="L177"/>
    </row>
    <row r="178" spans="1:12">
      <c r="A178" s="8"/>
      <c r="B178" s="1"/>
      <c r="C178" s="6"/>
      <c r="D178" s="8"/>
      <c r="E178" s="8"/>
      <c r="F178" s="8"/>
      <c r="L178"/>
    </row>
    <row r="179" spans="1:12">
      <c r="A179" s="8"/>
      <c r="B179" s="1"/>
      <c r="C179" s="6"/>
      <c r="D179" s="8"/>
      <c r="E179" s="8"/>
      <c r="F179" s="8"/>
      <c r="L179"/>
    </row>
    <row r="180" spans="1:12">
      <c r="A180" s="8"/>
      <c r="B180" s="1"/>
      <c r="C180" s="6"/>
      <c r="D180" s="8"/>
      <c r="E180" s="8"/>
      <c r="F180" s="8"/>
      <c r="L180"/>
    </row>
    <row r="181" spans="1:12">
      <c r="A181" s="8"/>
      <c r="B181" s="1"/>
      <c r="C181" s="6"/>
      <c r="D181" s="8"/>
      <c r="E181" s="8"/>
      <c r="F181" s="8"/>
      <c r="L181"/>
    </row>
    <row r="182" spans="1:12">
      <c r="A182" s="8"/>
      <c r="B182" s="1"/>
      <c r="C182" s="6"/>
      <c r="D182" s="8"/>
      <c r="E182" s="8"/>
      <c r="F182" s="8"/>
      <c r="L182"/>
    </row>
    <row r="183" spans="1:12">
      <c r="A183" s="8"/>
      <c r="B183" s="1"/>
      <c r="C183" s="6"/>
      <c r="D183" s="8"/>
      <c r="E183" s="8"/>
      <c r="F183" s="8"/>
      <c r="L183"/>
    </row>
    <row r="184" spans="1:12">
      <c r="A184" s="8"/>
      <c r="B184" s="1"/>
      <c r="C184" s="6"/>
      <c r="D184" s="8"/>
      <c r="E184" s="8"/>
      <c r="F184" s="8"/>
      <c r="L184"/>
    </row>
    <row r="185" spans="1:12">
      <c r="A185" s="8"/>
      <c r="B185" s="1"/>
      <c r="C185" s="6"/>
      <c r="D185" s="8"/>
      <c r="E185" s="8"/>
      <c r="F185" s="8"/>
      <c r="L185"/>
    </row>
    <row r="186" spans="1:12">
      <c r="A186" s="8"/>
      <c r="B186" s="1"/>
      <c r="C186" s="6"/>
      <c r="D186" s="8"/>
      <c r="E186" s="8"/>
      <c r="F186" s="8"/>
      <c r="L186"/>
    </row>
    <row r="187" spans="1:12">
      <c r="A187" s="8"/>
      <c r="B187" s="1"/>
      <c r="C187" s="6"/>
      <c r="D187" s="8"/>
      <c r="E187" s="8"/>
      <c r="F187" s="8"/>
      <c r="L187"/>
    </row>
    <row r="188" spans="1:12">
      <c r="A188" s="8"/>
      <c r="B188" s="1"/>
      <c r="C188" s="6"/>
      <c r="D188" s="8"/>
      <c r="E188" s="8"/>
      <c r="F188" s="8"/>
      <c r="L188"/>
    </row>
    <row r="189" spans="1:12">
      <c r="A189" s="8"/>
      <c r="B189" s="1"/>
      <c r="C189" s="6"/>
      <c r="D189" s="8"/>
      <c r="E189" s="8"/>
      <c r="F189" s="8"/>
      <c r="L189"/>
    </row>
    <row r="190" spans="1:12">
      <c r="A190" s="8"/>
      <c r="B190" s="1"/>
      <c r="C190" s="6"/>
      <c r="D190" s="8"/>
      <c r="E190" s="8"/>
      <c r="F190" s="8"/>
      <c r="L190"/>
    </row>
    <row r="191" spans="1:12">
      <c r="A191" s="8"/>
      <c r="B191" s="1"/>
      <c r="C191" s="6"/>
      <c r="D191" s="8"/>
      <c r="E191" s="8"/>
      <c r="F191" s="8"/>
      <c r="L191"/>
    </row>
    <row r="192" spans="1:12">
      <c r="A192" s="8"/>
      <c r="B192" s="1"/>
      <c r="C192" s="6"/>
      <c r="D192" s="8"/>
      <c r="E192" s="8"/>
      <c r="F192" s="8"/>
      <c r="L192"/>
    </row>
    <row r="193" spans="1:12">
      <c r="A193" s="8"/>
      <c r="B193" s="1"/>
      <c r="C193" s="6"/>
      <c r="D193" s="8"/>
      <c r="E193" s="8"/>
      <c r="F193" s="8"/>
      <c r="L193"/>
    </row>
    <row r="194" spans="1:12">
      <c r="A194" s="8"/>
      <c r="B194" s="1"/>
      <c r="C194" s="6"/>
      <c r="D194" s="8"/>
      <c r="E194" s="8"/>
      <c r="F194" s="8"/>
      <c r="L194"/>
    </row>
    <row r="195" spans="1:12">
      <c r="A195" s="8"/>
      <c r="B195" s="1"/>
      <c r="C195" s="6"/>
      <c r="D195" s="8"/>
      <c r="E195" s="8"/>
      <c r="F195" s="8"/>
      <c r="L195"/>
    </row>
    <row r="196" spans="1:12">
      <c r="A196" s="8"/>
      <c r="B196" s="1"/>
      <c r="C196" s="6"/>
      <c r="D196" s="8"/>
      <c r="E196" s="8"/>
      <c r="F196" s="8"/>
      <c r="L196"/>
    </row>
    <row r="197" spans="1:12">
      <c r="A197" s="8"/>
      <c r="B197" s="1"/>
      <c r="C197" s="6"/>
      <c r="D197" s="8"/>
      <c r="E197" s="8"/>
      <c r="F197" s="8"/>
      <c r="L197"/>
    </row>
    <row r="198" spans="1:12">
      <c r="A198" s="8"/>
      <c r="B198" s="1"/>
      <c r="C198" s="6"/>
      <c r="D198" s="8"/>
      <c r="E198" s="8"/>
      <c r="F198" s="8"/>
      <c r="L198"/>
    </row>
    <row r="199" spans="1:12">
      <c r="A199" s="8"/>
      <c r="B199" s="1"/>
      <c r="C199" s="6"/>
      <c r="D199" s="8"/>
      <c r="E199" s="8"/>
      <c r="F199" s="8"/>
      <c r="L199"/>
    </row>
    <row r="200" spans="1:12">
      <c r="A200" s="8"/>
      <c r="B200" s="1"/>
      <c r="C200" s="6"/>
      <c r="D200" s="8"/>
      <c r="E200" s="8"/>
      <c r="F200" s="8"/>
      <c r="L200"/>
    </row>
    <row r="201" spans="1:12">
      <c r="A201" s="8"/>
      <c r="B201" s="1"/>
      <c r="C201" s="6"/>
      <c r="D201" s="8"/>
      <c r="E201" s="8"/>
      <c r="F201" s="8"/>
      <c r="L201"/>
    </row>
    <row r="202" spans="1:12">
      <c r="A202" s="8"/>
      <c r="B202" s="1"/>
      <c r="C202" s="6"/>
      <c r="D202" s="8"/>
      <c r="E202" s="8"/>
      <c r="F202" s="8"/>
      <c r="L202"/>
    </row>
    <row r="203" spans="1:12">
      <c r="A203" s="8"/>
      <c r="B203" s="1"/>
      <c r="C203" s="6"/>
      <c r="D203" s="8"/>
      <c r="E203" s="8"/>
      <c r="F203" s="8"/>
      <c r="L203"/>
    </row>
    <row r="204" spans="1:12">
      <c r="A204" s="8"/>
      <c r="B204" s="1"/>
      <c r="C204" s="6"/>
      <c r="D204" s="8"/>
      <c r="E204" s="8"/>
      <c r="F204" s="8"/>
      <c r="L204"/>
    </row>
    <row r="205" spans="1:12">
      <c r="A205" s="8"/>
      <c r="B205" s="1"/>
      <c r="C205" s="6"/>
      <c r="D205" s="8"/>
      <c r="E205" s="8"/>
      <c r="F205" s="8"/>
      <c r="L205"/>
    </row>
    <row r="206" spans="1:12">
      <c r="A206" s="8"/>
      <c r="B206" s="1"/>
      <c r="C206" s="6"/>
      <c r="D206" s="8"/>
      <c r="E206" s="8"/>
      <c r="F206" s="8"/>
      <c r="L206"/>
    </row>
    <row r="207" spans="1:12">
      <c r="A207" s="8"/>
      <c r="B207" s="1"/>
      <c r="C207" s="6"/>
      <c r="D207" s="8"/>
      <c r="E207" s="8"/>
      <c r="F207" s="8"/>
      <c r="L207"/>
    </row>
    <row r="208" spans="1:12">
      <c r="A208" s="8"/>
      <c r="B208" s="1"/>
      <c r="C208" s="6"/>
      <c r="D208" s="8"/>
      <c r="E208" s="8"/>
      <c r="F208" s="8"/>
      <c r="L208"/>
    </row>
    <row r="209" spans="1:12">
      <c r="A209" s="8"/>
      <c r="B209" s="1"/>
      <c r="C209" s="6"/>
      <c r="D209" s="8"/>
      <c r="E209" s="8"/>
      <c r="F209" s="8"/>
      <c r="L209"/>
    </row>
    <row r="210" spans="1:12">
      <c r="A210" s="8"/>
      <c r="B210" s="1"/>
      <c r="C210" s="6"/>
      <c r="D210" s="8"/>
      <c r="E210" s="8"/>
      <c r="F210" s="8"/>
      <c r="L210"/>
    </row>
    <row r="211" spans="1:12">
      <c r="A211" s="8"/>
      <c r="B211" s="1"/>
      <c r="C211" s="6"/>
      <c r="D211" s="8"/>
      <c r="E211" s="8"/>
      <c r="F211" s="8"/>
      <c r="L211"/>
    </row>
    <row r="212" spans="1:12">
      <c r="A212" s="8"/>
      <c r="B212" s="1"/>
      <c r="C212" s="6"/>
      <c r="D212" s="8"/>
      <c r="E212" s="8"/>
      <c r="F212" s="8"/>
      <c r="L212"/>
    </row>
    <row r="213" spans="1:12">
      <c r="A213" s="8"/>
      <c r="B213" s="1"/>
      <c r="C213" s="6"/>
      <c r="D213" s="8"/>
      <c r="E213" s="8"/>
      <c r="F213" s="8"/>
      <c r="L213"/>
    </row>
    <row r="214" spans="1:12">
      <c r="A214" s="8"/>
      <c r="B214" s="1"/>
      <c r="C214" s="6"/>
      <c r="D214" s="8"/>
      <c r="E214" s="8"/>
      <c r="F214" s="8"/>
      <c r="L214"/>
    </row>
    <row r="215" spans="1:12">
      <c r="A215" s="8"/>
      <c r="B215" s="1"/>
      <c r="C215" s="6"/>
      <c r="D215" s="8"/>
      <c r="E215" s="8"/>
      <c r="F215" s="8"/>
      <c r="L215"/>
    </row>
    <row r="216" spans="1:12">
      <c r="A216" s="8"/>
      <c r="B216" s="1"/>
      <c r="C216" s="6"/>
      <c r="D216" s="8"/>
      <c r="E216" s="8"/>
      <c r="F216" s="8"/>
      <c r="L216"/>
    </row>
    <row r="217" spans="1:12">
      <c r="A217" s="8"/>
      <c r="B217" s="1"/>
      <c r="C217" s="6"/>
      <c r="D217" s="8"/>
      <c r="E217" s="8"/>
      <c r="F217" s="8"/>
      <c r="L217"/>
    </row>
    <row r="218" spans="1:12">
      <c r="A218" s="8"/>
      <c r="B218" s="1"/>
      <c r="C218" s="6"/>
      <c r="D218" s="8"/>
      <c r="E218" s="8"/>
      <c r="F218" s="8"/>
      <c r="L218"/>
    </row>
    <row r="219" spans="1:12">
      <c r="A219" s="8"/>
      <c r="B219" s="1"/>
      <c r="C219" s="6"/>
      <c r="D219" s="8"/>
      <c r="E219" s="8"/>
      <c r="F219" s="8"/>
      <c r="L219"/>
    </row>
    <row r="220" spans="1:12">
      <c r="A220" s="8"/>
      <c r="B220" s="1"/>
      <c r="C220" s="6"/>
      <c r="D220" s="8"/>
      <c r="E220" s="8"/>
      <c r="F220" s="8"/>
      <c r="L220"/>
    </row>
    <row r="221" spans="1:12">
      <c r="A221" s="8"/>
      <c r="B221" s="1"/>
      <c r="C221" s="6"/>
      <c r="D221" s="8"/>
      <c r="E221" s="8"/>
      <c r="F221" s="8"/>
      <c r="L221"/>
    </row>
    <row r="222" spans="1:12">
      <c r="A222" s="8"/>
      <c r="B222" s="1"/>
      <c r="C222" s="6"/>
      <c r="D222" s="8"/>
      <c r="E222" s="8"/>
      <c r="F222" s="8"/>
      <c r="L222"/>
    </row>
    <row r="223" spans="1:12">
      <c r="A223" s="8"/>
      <c r="B223" s="1"/>
      <c r="C223" s="6"/>
      <c r="D223" s="8"/>
      <c r="E223" s="8"/>
      <c r="F223" s="8"/>
      <c r="L223"/>
    </row>
    <row r="224" spans="1:12">
      <c r="A224" s="8"/>
      <c r="B224" s="1"/>
      <c r="C224" s="6"/>
      <c r="D224" s="8"/>
      <c r="E224" s="8"/>
      <c r="F224" s="8"/>
      <c r="L224"/>
    </row>
    <row r="225" spans="1:12">
      <c r="A225" s="8"/>
      <c r="B225" s="1"/>
      <c r="C225" s="6"/>
      <c r="D225" s="8"/>
      <c r="E225" s="8"/>
      <c r="F225" s="8"/>
      <c r="L225"/>
    </row>
    <row r="226" spans="1:12">
      <c r="A226" s="8"/>
      <c r="B226" s="1"/>
      <c r="C226" s="6"/>
      <c r="D226" s="8"/>
      <c r="E226" s="8"/>
      <c r="F226" s="8"/>
      <c r="L226"/>
    </row>
    <row r="227" spans="1:12">
      <c r="A227" s="8"/>
      <c r="B227" s="1"/>
      <c r="C227" s="6"/>
      <c r="D227" s="8"/>
      <c r="E227" s="8"/>
      <c r="F227" s="8"/>
      <c r="L227"/>
    </row>
    <row r="228" spans="1:12">
      <c r="A228" s="8"/>
      <c r="B228" s="1"/>
      <c r="C228" s="6"/>
      <c r="D228" s="8"/>
      <c r="E228" s="8"/>
      <c r="F228" s="8"/>
      <c r="L228"/>
    </row>
    <row r="229" spans="1:12">
      <c r="A229" s="8"/>
      <c r="B229" s="1"/>
      <c r="C229" s="6"/>
      <c r="D229" s="8"/>
      <c r="E229" s="8"/>
      <c r="F229" s="8"/>
      <c r="L229"/>
    </row>
    <row r="230" spans="1:12">
      <c r="A230" s="8"/>
      <c r="B230" s="1"/>
      <c r="C230" s="6"/>
      <c r="D230" s="8"/>
      <c r="E230" s="8"/>
      <c r="F230" s="8"/>
      <c r="L230"/>
    </row>
    <row r="231" spans="1:12">
      <c r="A231" s="8"/>
      <c r="B231" s="1"/>
      <c r="C231" s="6"/>
      <c r="D231" s="8"/>
      <c r="E231" s="8"/>
      <c r="F231" s="8"/>
      <c r="L231"/>
    </row>
    <row r="232" spans="1:12">
      <c r="A232" s="8"/>
      <c r="B232" s="1"/>
      <c r="C232" s="6"/>
      <c r="D232" s="8"/>
      <c r="E232" s="8"/>
      <c r="F232" s="8"/>
      <c r="L232"/>
    </row>
    <row r="233" spans="1:12">
      <c r="A233" s="8"/>
      <c r="B233" s="1"/>
      <c r="C233" s="6"/>
      <c r="D233" s="8"/>
      <c r="E233" s="8"/>
      <c r="F233" s="8"/>
      <c r="L233"/>
    </row>
    <row r="234" spans="1:12">
      <c r="A234" s="8"/>
      <c r="B234" s="1"/>
      <c r="C234" s="6"/>
      <c r="D234" s="8"/>
      <c r="E234" s="8"/>
      <c r="F234" s="8"/>
      <c r="L234"/>
    </row>
    <row r="235" spans="1:12">
      <c r="A235" s="8"/>
      <c r="B235" s="1"/>
      <c r="C235" s="6"/>
      <c r="D235" s="8"/>
      <c r="E235" s="8"/>
      <c r="F235" s="8"/>
      <c r="L235"/>
    </row>
    <row r="236" spans="1:12">
      <c r="A236" s="8"/>
      <c r="B236" s="1"/>
      <c r="C236" s="6"/>
      <c r="D236" s="8"/>
      <c r="E236" s="8"/>
      <c r="F236" s="8"/>
      <c r="L236"/>
    </row>
    <row r="237" spans="1:12">
      <c r="A237" s="8"/>
      <c r="B237" s="1"/>
      <c r="C237" s="6"/>
      <c r="D237" s="8"/>
      <c r="E237" s="8"/>
      <c r="F237" s="8"/>
      <c r="L237"/>
    </row>
    <row r="238" spans="1:12">
      <c r="A238" s="8"/>
      <c r="B238" s="1"/>
      <c r="C238" s="6"/>
      <c r="D238" s="8"/>
      <c r="E238" s="8"/>
      <c r="F238" s="8"/>
      <c r="L238"/>
    </row>
    <row r="239" spans="1:12">
      <c r="A239" s="8"/>
      <c r="B239" s="1"/>
      <c r="C239" s="6"/>
      <c r="D239" s="8"/>
      <c r="E239" s="8"/>
      <c r="F239" s="8"/>
      <c r="L239"/>
    </row>
    <row r="240" spans="1:12">
      <c r="A240" s="8"/>
      <c r="B240" s="1"/>
      <c r="C240" s="6"/>
      <c r="D240" s="8"/>
      <c r="E240" s="8"/>
      <c r="F240" s="8"/>
      <c r="L240"/>
    </row>
    <row r="241" spans="1:12">
      <c r="A241" s="8"/>
      <c r="B241" s="1"/>
      <c r="C241" s="6"/>
      <c r="D241" s="8"/>
      <c r="E241" s="8"/>
      <c r="F241" s="8"/>
      <c r="L241"/>
    </row>
    <row r="242" spans="1:12">
      <c r="A242" s="8"/>
      <c r="B242" s="1"/>
      <c r="C242" s="6"/>
      <c r="D242" s="8"/>
      <c r="E242" s="8"/>
      <c r="F242" s="8"/>
      <c r="L242"/>
    </row>
    <row r="243" spans="1:12">
      <c r="A243" s="8"/>
      <c r="B243" s="1"/>
      <c r="C243" s="6"/>
      <c r="D243" s="8"/>
      <c r="E243" s="8"/>
      <c r="F243" s="8"/>
      <c r="L243"/>
    </row>
    <row r="244" spans="1:12">
      <c r="A244" s="8"/>
      <c r="B244" s="1"/>
      <c r="C244" s="6"/>
      <c r="D244" s="8"/>
      <c r="E244" s="8"/>
      <c r="F244" s="8"/>
      <c r="L244"/>
    </row>
    <row r="245" spans="1:12">
      <c r="A245" s="8"/>
      <c r="B245" s="1"/>
      <c r="C245" s="6"/>
      <c r="D245" s="8"/>
      <c r="E245" s="8"/>
      <c r="F245" s="8"/>
      <c r="L245"/>
    </row>
    <row r="246" spans="1:12">
      <c r="A246" s="8"/>
      <c r="B246" s="1"/>
      <c r="C246" s="6"/>
      <c r="D246" s="8"/>
      <c r="E246" s="8"/>
      <c r="F246" s="8"/>
      <c r="L246"/>
    </row>
    <row r="247" spans="1:12">
      <c r="A247" s="8"/>
      <c r="B247" s="1"/>
      <c r="C247" s="6"/>
      <c r="D247" s="8"/>
      <c r="E247" s="8"/>
      <c r="F247" s="8"/>
      <c r="L247"/>
    </row>
    <row r="248" spans="1:12">
      <c r="A248" s="8"/>
      <c r="B248" s="1"/>
      <c r="C248" s="6"/>
      <c r="D248" s="8"/>
      <c r="E248" s="8"/>
      <c r="F248" s="8"/>
      <c r="L248"/>
    </row>
    <row r="249" spans="1:12">
      <c r="A249" s="8"/>
      <c r="B249" s="1"/>
      <c r="C249" s="6"/>
      <c r="D249" s="8"/>
      <c r="E249" s="8"/>
      <c r="F249" s="8"/>
      <c r="L249"/>
    </row>
    <row r="250" spans="1:12">
      <c r="A250" s="8"/>
      <c r="B250" s="1"/>
      <c r="C250" s="6"/>
      <c r="D250" s="8"/>
      <c r="E250" s="8"/>
      <c r="F250" s="8"/>
      <c r="L250"/>
    </row>
    <row r="251" spans="1:12">
      <c r="A251" s="8"/>
      <c r="B251" s="1"/>
      <c r="C251" s="6"/>
      <c r="D251" s="8"/>
      <c r="E251" s="8"/>
      <c r="F251" s="8"/>
      <c r="L251"/>
    </row>
    <row r="252" spans="1:12">
      <c r="A252" s="8"/>
      <c r="B252" s="1"/>
      <c r="C252" s="6"/>
      <c r="D252" s="8"/>
      <c r="E252" s="8"/>
      <c r="F252" s="8"/>
      <c r="L252"/>
    </row>
    <row r="253" spans="1:12">
      <c r="A253" s="8"/>
      <c r="B253" s="1"/>
      <c r="C253" s="6"/>
      <c r="D253" s="8"/>
      <c r="E253" s="8"/>
      <c r="F253" s="8"/>
      <c r="L253"/>
    </row>
    <row r="254" spans="1:12">
      <c r="A254" s="8"/>
      <c r="B254" s="1"/>
      <c r="C254" s="6"/>
      <c r="D254" s="8"/>
      <c r="E254" s="8"/>
      <c r="F254" s="8"/>
      <c r="L254"/>
    </row>
    <row r="255" spans="1:12">
      <c r="A255" s="8"/>
      <c r="B255" s="1"/>
      <c r="C255" s="6"/>
      <c r="D255" s="8"/>
      <c r="E255" s="8"/>
      <c r="F255" s="8"/>
      <c r="L255"/>
    </row>
    <row r="256" spans="1:12">
      <c r="A256" s="8"/>
      <c r="B256" s="1"/>
      <c r="C256" s="6"/>
      <c r="D256" s="8"/>
      <c r="E256" s="8"/>
      <c r="F256" s="8"/>
      <c r="L256"/>
    </row>
    <row r="257" spans="1:12">
      <c r="A257" s="8"/>
      <c r="B257" s="1"/>
      <c r="C257" s="6"/>
      <c r="D257" s="8"/>
      <c r="E257" s="8"/>
      <c r="F257" s="8"/>
      <c r="L257"/>
    </row>
    <row r="258" spans="1:12">
      <c r="A258" s="8"/>
      <c r="B258" s="1"/>
      <c r="C258" s="6"/>
      <c r="D258" s="8"/>
      <c r="E258" s="8"/>
      <c r="F258" s="8"/>
      <c r="L258"/>
    </row>
    <row r="259" spans="1:12">
      <c r="A259" s="8"/>
      <c r="B259" s="1"/>
      <c r="C259" s="6"/>
      <c r="D259" s="8"/>
      <c r="E259" s="8"/>
      <c r="F259" s="8"/>
      <c r="L259"/>
    </row>
    <row r="260" spans="1:12">
      <c r="A260" s="8"/>
      <c r="B260" s="1"/>
      <c r="C260" s="6"/>
      <c r="D260" s="8"/>
      <c r="E260" s="8"/>
      <c r="F260" s="8"/>
      <c r="L260"/>
    </row>
    <row r="261" spans="1:12">
      <c r="A261" s="8"/>
      <c r="B261" s="8"/>
      <c r="C261" s="6"/>
      <c r="D261" s="8"/>
      <c r="E261" s="8"/>
      <c r="F261" s="8"/>
      <c r="L261"/>
    </row>
    <row r="262" spans="1:12">
      <c r="A262" s="8"/>
      <c r="B262" s="8"/>
      <c r="C262" s="6"/>
      <c r="D262" s="8"/>
      <c r="E262" s="8"/>
      <c r="F262" s="8"/>
      <c r="L262"/>
    </row>
    <row r="263" spans="1:12">
      <c r="A263" s="8"/>
      <c r="B263" s="8"/>
      <c r="C263" s="6"/>
      <c r="D263" s="8"/>
      <c r="E263" s="8"/>
      <c r="F263" s="8"/>
      <c r="L263"/>
    </row>
    <row r="264" spans="1:12">
      <c r="A264" s="8"/>
      <c r="B264" s="8"/>
      <c r="C264" s="6"/>
      <c r="D264" s="8"/>
      <c r="E264" s="8"/>
      <c r="F264" s="8"/>
      <c r="L264"/>
    </row>
    <row r="265" spans="1:12">
      <c r="A265" s="8"/>
      <c r="B265" s="8"/>
      <c r="C265" s="6"/>
      <c r="D265" s="8"/>
      <c r="E265" s="8"/>
      <c r="F265" s="8"/>
      <c r="L265"/>
    </row>
    <row r="266" spans="1:12">
      <c r="A266" s="8"/>
      <c r="B266" s="8"/>
      <c r="C266" s="6"/>
      <c r="D266" s="8"/>
      <c r="E266" s="8"/>
      <c r="F266" s="8"/>
      <c r="L266"/>
    </row>
    <row r="267" spans="1:12">
      <c r="A267" s="8"/>
      <c r="B267" s="8"/>
      <c r="C267" s="6"/>
      <c r="D267" s="8"/>
      <c r="E267" s="8"/>
      <c r="F267" s="8"/>
      <c r="L267"/>
    </row>
    <row r="268" spans="1:12">
      <c r="A268" s="8"/>
      <c r="B268" s="8"/>
      <c r="C268" s="6"/>
      <c r="D268" s="8"/>
      <c r="E268" s="8"/>
      <c r="F268" s="8"/>
      <c r="L268"/>
    </row>
    <row r="269" spans="1:12">
      <c r="A269" s="8"/>
      <c r="B269" s="8"/>
      <c r="C269" s="6"/>
      <c r="D269" s="8"/>
      <c r="E269" s="8"/>
      <c r="F269" s="8"/>
      <c r="L269"/>
    </row>
    <row r="270" spans="1:12">
      <c r="A270" s="8"/>
      <c r="B270" s="8"/>
      <c r="C270" s="6"/>
      <c r="D270" s="8"/>
      <c r="E270" s="8"/>
      <c r="F270" s="8"/>
      <c r="L270"/>
    </row>
    <row r="271" spans="1:12">
      <c r="A271" s="8"/>
      <c r="B271" s="8"/>
      <c r="C271" s="6"/>
      <c r="D271" s="8"/>
      <c r="E271" s="8"/>
      <c r="F271" s="8"/>
      <c r="L271"/>
    </row>
    <row r="272" spans="1:12">
      <c r="A272" s="8"/>
      <c r="B272" s="8"/>
      <c r="C272" s="6"/>
      <c r="D272" s="8"/>
      <c r="E272" s="8"/>
      <c r="F272" s="8"/>
      <c r="L272"/>
    </row>
    <row r="273" spans="1:12">
      <c r="A273" s="8"/>
      <c r="B273" s="8"/>
      <c r="C273" s="6"/>
      <c r="D273" s="8"/>
      <c r="E273" s="8"/>
      <c r="F273" s="8"/>
      <c r="L273"/>
    </row>
    <row r="274" spans="1:12">
      <c r="A274" s="8"/>
      <c r="B274" s="8"/>
      <c r="C274" s="6"/>
      <c r="D274" s="8"/>
      <c r="E274" s="8"/>
      <c r="F274" s="8"/>
      <c r="L274"/>
    </row>
    <row r="275" spans="1:12">
      <c r="A275" s="8"/>
      <c r="B275" s="8"/>
      <c r="C275" s="6"/>
      <c r="D275" s="8"/>
      <c r="E275" s="8"/>
      <c r="F275" s="8"/>
      <c r="L275"/>
    </row>
    <row r="276" spans="1:12">
      <c r="A276" s="8"/>
      <c r="B276" s="8"/>
      <c r="C276" s="6"/>
      <c r="D276" s="8"/>
      <c r="E276" s="8"/>
      <c r="F276" s="8"/>
      <c r="L276"/>
    </row>
    <row r="277" spans="1:12">
      <c r="A277" s="8"/>
      <c r="B277" s="8"/>
      <c r="C277" s="6"/>
      <c r="D277" s="8"/>
      <c r="E277" s="8"/>
      <c r="F277" s="8"/>
      <c r="L277"/>
    </row>
    <row r="278" spans="1:12">
      <c r="A278" s="8"/>
      <c r="B278" s="8"/>
      <c r="C278" s="6"/>
      <c r="D278" s="8"/>
      <c r="E278" s="8"/>
      <c r="F278" s="8"/>
      <c r="L278"/>
    </row>
    <row r="279" spans="1:12">
      <c r="A279" s="8"/>
      <c r="B279" s="8"/>
      <c r="C279" s="6"/>
      <c r="D279" s="8"/>
      <c r="E279" s="8"/>
      <c r="F279" s="8"/>
      <c r="L279"/>
    </row>
    <row r="280" spans="1:12">
      <c r="A280" s="8"/>
      <c r="B280" s="8"/>
      <c r="C280" s="6"/>
      <c r="D280" s="8"/>
      <c r="E280" s="8"/>
      <c r="F280" s="8"/>
      <c r="L280"/>
    </row>
    <row r="281" spans="1:12">
      <c r="A281" s="8"/>
      <c r="B281" s="8"/>
      <c r="C281" s="6"/>
      <c r="D281" s="8"/>
      <c r="E281" s="8"/>
      <c r="F281" s="8"/>
      <c r="L281"/>
    </row>
    <row r="282" spans="1:12">
      <c r="A282" s="8"/>
      <c r="B282" s="8"/>
      <c r="C282" s="6"/>
      <c r="D282" s="8"/>
      <c r="E282" s="8"/>
      <c r="F282" s="8"/>
      <c r="L282"/>
    </row>
    <row r="283" spans="1:12">
      <c r="A283" s="8"/>
      <c r="B283" s="8"/>
      <c r="C283" s="6"/>
      <c r="D283" s="8"/>
      <c r="E283" s="8"/>
      <c r="F283" s="8"/>
      <c r="L283"/>
    </row>
    <row r="284" spans="1:12">
      <c r="A284" s="8"/>
      <c r="B284" s="8"/>
      <c r="C284" s="6"/>
      <c r="D284" s="8"/>
      <c r="E284" s="8"/>
      <c r="F284" s="8"/>
      <c r="L284"/>
    </row>
    <row r="285" spans="1:12">
      <c r="A285" s="8"/>
      <c r="B285" s="8"/>
      <c r="C285" s="6"/>
      <c r="D285" s="8"/>
      <c r="E285" s="8"/>
      <c r="F285" s="8"/>
      <c r="L285"/>
    </row>
    <row r="286" spans="1:12">
      <c r="A286" s="8"/>
      <c r="B286" s="8"/>
      <c r="C286" s="6"/>
      <c r="D286" s="8"/>
      <c r="E286" s="8"/>
      <c r="F286" s="8"/>
      <c r="L286"/>
    </row>
    <row r="287" spans="1:12">
      <c r="A287" s="8"/>
      <c r="B287" s="8"/>
      <c r="C287" s="6"/>
      <c r="D287" s="8"/>
      <c r="E287" s="8"/>
      <c r="F287" s="8"/>
      <c r="L287"/>
    </row>
    <row r="288" spans="1:12">
      <c r="A288" s="8"/>
      <c r="B288" s="8"/>
      <c r="C288" s="6"/>
      <c r="D288" s="8"/>
      <c r="E288" s="8"/>
      <c r="F288" s="8"/>
      <c r="L288"/>
    </row>
    <row r="289" spans="1:12">
      <c r="A289" s="8"/>
      <c r="B289" s="8"/>
      <c r="C289" s="6"/>
      <c r="D289" s="8"/>
      <c r="E289" s="8"/>
      <c r="F289" s="8"/>
      <c r="L289"/>
    </row>
    <row r="290" spans="1:12">
      <c r="A290" s="8"/>
      <c r="B290" s="8"/>
      <c r="C290" s="6"/>
      <c r="D290" s="8"/>
      <c r="E290" s="8"/>
      <c r="F290" s="8"/>
      <c r="L290"/>
    </row>
    <row r="291" spans="1:12">
      <c r="A291" s="8"/>
      <c r="B291" s="8"/>
      <c r="C291" s="6"/>
      <c r="D291" s="8"/>
      <c r="E291" s="8"/>
      <c r="F291" s="8"/>
      <c r="L291"/>
    </row>
    <row r="292" spans="1:12">
      <c r="A292" s="8"/>
      <c r="B292" s="8"/>
      <c r="C292" s="6"/>
      <c r="D292" s="8"/>
      <c r="E292" s="8"/>
      <c r="F292" s="8"/>
      <c r="L292"/>
    </row>
    <row r="293" spans="1:12">
      <c r="A293" s="8"/>
      <c r="B293" s="8"/>
      <c r="C293" s="6"/>
      <c r="D293" s="8"/>
      <c r="E293" s="8"/>
      <c r="F293" s="8"/>
      <c r="L293"/>
    </row>
    <row r="294" spans="1:12">
      <c r="A294" s="8"/>
      <c r="B294" s="8"/>
      <c r="C294" s="6"/>
      <c r="D294" s="8"/>
      <c r="E294" s="8"/>
      <c r="F294" s="8"/>
      <c r="L294"/>
    </row>
    <row r="295" spans="1:12">
      <c r="A295" s="8"/>
      <c r="B295" s="8"/>
      <c r="C295" s="6"/>
      <c r="D295" s="8"/>
      <c r="E295" s="8"/>
      <c r="F295" s="8"/>
      <c r="L295"/>
    </row>
    <row r="296" spans="1:12">
      <c r="A296" s="8"/>
      <c r="B296" s="8"/>
      <c r="C296" s="6"/>
      <c r="D296" s="8"/>
      <c r="E296" s="8"/>
      <c r="F296" s="8"/>
      <c r="L296"/>
    </row>
    <row r="297" spans="1:12">
      <c r="A297" s="8"/>
      <c r="B297" s="8"/>
      <c r="C297" s="6"/>
      <c r="D297" s="8"/>
      <c r="E297" s="8"/>
      <c r="F297" s="8"/>
      <c r="L297"/>
    </row>
    <row r="298" spans="1:12">
      <c r="A298" s="8"/>
      <c r="B298" s="8"/>
      <c r="C298" s="6"/>
      <c r="D298" s="8"/>
      <c r="E298" s="8"/>
      <c r="F298" s="8"/>
      <c r="L298"/>
    </row>
    <row r="299" spans="1:12">
      <c r="A299" s="8"/>
      <c r="B299" s="8"/>
      <c r="C299" s="6"/>
      <c r="D299" s="8"/>
      <c r="E299" s="8"/>
      <c r="F299" s="8"/>
      <c r="L299"/>
    </row>
    <row r="300" spans="1:12">
      <c r="A300" s="8"/>
      <c r="B300" s="8"/>
      <c r="C300" s="6"/>
      <c r="D300" s="8"/>
      <c r="E300" s="8"/>
      <c r="F300" s="8"/>
      <c r="L300"/>
    </row>
    <row r="301" spans="1:12">
      <c r="A301" s="8"/>
      <c r="B301" s="8"/>
      <c r="C301" s="6"/>
      <c r="D301" s="8"/>
      <c r="E301" s="8"/>
      <c r="F301" s="8"/>
      <c r="L301"/>
    </row>
    <row r="302" spans="1:12">
      <c r="A302" s="8"/>
      <c r="B302" s="8"/>
      <c r="C302" s="6"/>
      <c r="D302" s="8"/>
      <c r="E302" s="8"/>
      <c r="F302" s="8"/>
      <c r="L302"/>
    </row>
    <row r="303" spans="1:12">
      <c r="A303" s="8"/>
      <c r="B303" s="8"/>
      <c r="C303" s="6"/>
      <c r="D303" s="8"/>
      <c r="E303" s="8"/>
      <c r="F303" s="8"/>
      <c r="L303"/>
    </row>
    <row r="304" spans="1:12">
      <c r="A304" s="8"/>
      <c r="B304" s="8"/>
      <c r="C304" s="6"/>
      <c r="D304" s="8"/>
      <c r="E304" s="8"/>
      <c r="F304" s="8"/>
      <c r="L304"/>
    </row>
    <row r="305" spans="1:12">
      <c r="A305" s="8"/>
      <c r="B305" s="8"/>
      <c r="C305" s="6"/>
      <c r="D305" s="8"/>
      <c r="E305" s="8"/>
      <c r="F305" s="8"/>
      <c r="L305"/>
    </row>
    <row r="306" spans="1:12">
      <c r="A306" s="8"/>
      <c r="B306" s="8"/>
      <c r="C306" s="6"/>
      <c r="D306" s="8"/>
      <c r="E306" s="8"/>
      <c r="F306" s="8"/>
      <c r="L306"/>
    </row>
    <row r="307" spans="1:12">
      <c r="A307" s="8"/>
      <c r="B307" s="8"/>
      <c r="C307" s="6"/>
      <c r="D307" s="8"/>
      <c r="E307" s="8"/>
      <c r="F307" s="8"/>
      <c r="L307"/>
    </row>
    <row r="308" spans="1:12">
      <c r="A308" s="8"/>
      <c r="B308" s="8"/>
      <c r="C308" s="6"/>
      <c r="D308" s="8"/>
      <c r="E308" s="8"/>
      <c r="F308" s="8"/>
      <c r="L308"/>
    </row>
    <row r="309" spans="1:12">
      <c r="A309" s="8"/>
      <c r="B309" s="8"/>
      <c r="C309" s="6"/>
      <c r="D309" s="8"/>
      <c r="E309" s="8"/>
      <c r="F309" s="8"/>
      <c r="L309"/>
    </row>
    <row r="310" spans="1:12">
      <c r="L310"/>
    </row>
    <row r="311" spans="1:12">
      <c r="L311"/>
    </row>
    <row r="312" spans="1:12">
      <c r="L312"/>
    </row>
    <row r="313" spans="1:12">
      <c r="L313"/>
    </row>
    <row r="314" spans="1:12">
      <c r="L314"/>
    </row>
    <row r="315" spans="1:12">
      <c r="L315"/>
    </row>
    <row r="316" spans="1:12">
      <c r="L316"/>
    </row>
    <row r="317" spans="1:12">
      <c r="L317"/>
    </row>
    <row r="318" spans="1:12">
      <c r="L318"/>
    </row>
    <row r="319" spans="1:12">
      <c r="L319"/>
    </row>
    <row r="320" spans="1:12">
      <c r="L320"/>
    </row>
    <row r="321" spans="12:12">
      <c r="L321"/>
    </row>
    <row r="322" spans="12:12">
      <c r="L322"/>
    </row>
    <row r="323" spans="12:12">
      <c r="L323"/>
    </row>
    <row r="324" spans="12:12">
      <c r="L324"/>
    </row>
    <row r="325" spans="12:12">
      <c r="L325"/>
    </row>
    <row r="326" spans="12:12">
      <c r="L326"/>
    </row>
    <row r="327" spans="12:12">
      <c r="L327"/>
    </row>
    <row r="328" spans="12:12">
      <c r="L328"/>
    </row>
    <row r="329" spans="12:12">
      <c r="L329"/>
    </row>
    <row r="330" spans="12:12">
      <c r="L330"/>
    </row>
    <row r="331" spans="12:12">
      <c r="L331"/>
    </row>
    <row r="332" spans="12:12">
      <c r="L332"/>
    </row>
    <row r="333" spans="12:12">
      <c r="L333"/>
    </row>
    <row r="334" spans="12:12">
      <c r="L334"/>
    </row>
    <row r="335" spans="12:12">
      <c r="L335"/>
    </row>
    <row r="336" spans="12:12">
      <c r="L336"/>
    </row>
    <row r="337" spans="12:12">
      <c r="L337"/>
    </row>
    <row r="338" spans="12:12">
      <c r="L338"/>
    </row>
    <row r="339" spans="12:12">
      <c r="L339"/>
    </row>
    <row r="340" spans="12:12">
      <c r="L340"/>
    </row>
    <row r="341" spans="12:12">
      <c r="L341"/>
    </row>
    <row r="342" spans="12:12">
      <c r="L342"/>
    </row>
    <row r="343" spans="12:12">
      <c r="L343"/>
    </row>
    <row r="344" spans="12:12">
      <c r="L344"/>
    </row>
    <row r="345" spans="12:12">
      <c r="L345"/>
    </row>
    <row r="346" spans="12:12">
      <c r="L346"/>
    </row>
    <row r="347" spans="12:12">
      <c r="L347"/>
    </row>
    <row r="348" spans="12:12">
      <c r="L348"/>
    </row>
    <row r="349" spans="12:12">
      <c r="L349"/>
    </row>
    <row r="350" spans="12:12">
      <c r="L350"/>
    </row>
    <row r="351" spans="12:12">
      <c r="L351"/>
    </row>
    <row r="352" spans="12:12">
      <c r="L352"/>
    </row>
    <row r="353" spans="12:12">
      <c r="L353"/>
    </row>
    <row r="354" spans="12:12">
      <c r="L354"/>
    </row>
    <row r="355" spans="12:12">
      <c r="L355"/>
    </row>
    <row r="356" spans="12:12">
      <c r="L356"/>
    </row>
    <row r="357" spans="12:12">
      <c r="L357"/>
    </row>
    <row r="358" spans="12:12">
      <c r="L358"/>
    </row>
    <row r="359" spans="12:12">
      <c r="L359"/>
    </row>
    <row r="360" spans="12:12">
      <c r="L360"/>
    </row>
    <row r="361" spans="12:12">
      <c r="L361"/>
    </row>
    <row r="362" spans="12:12">
      <c r="L362"/>
    </row>
    <row r="363" spans="12:12">
      <c r="L363"/>
    </row>
    <row r="364" spans="12:12">
      <c r="L364"/>
    </row>
    <row r="365" spans="12:12">
      <c r="L365"/>
    </row>
    <row r="366" spans="12:12">
      <c r="L366"/>
    </row>
    <row r="367" spans="12:12">
      <c r="L367"/>
    </row>
    <row r="368" spans="12:12">
      <c r="L368"/>
    </row>
    <row r="369" spans="12:12">
      <c r="L369"/>
    </row>
    <row r="370" spans="12:12">
      <c r="L370"/>
    </row>
    <row r="371" spans="12:12">
      <c r="L371"/>
    </row>
    <row r="372" spans="12:12">
      <c r="L372"/>
    </row>
    <row r="373" spans="12:12">
      <c r="L373"/>
    </row>
    <row r="374" spans="12:12">
      <c r="L374"/>
    </row>
    <row r="375" spans="12:12">
      <c r="L375"/>
    </row>
    <row r="376" spans="12:12">
      <c r="L376"/>
    </row>
    <row r="377" spans="12:12">
      <c r="L377"/>
    </row>
    <row r="378" spans="12:12">
      <c r="L378"/>
    </row>
    <row r="379" spans="12:12">
      <c r="L379"/>
    </row>
    <row r="380" spans="12:12">
      <c r="L380"/>
    </row>
    <row r="381" spans="12:12">
      <c r="L381"/>
    </row>
    <row r="382" spans="12:12">
      <c r="L382"/>
    </row>
    <row r="383" spans="12:12">
      <c r="L383"/>
    </row>
    <row r="384" spans="12:12">
      <c r="L384"/>
    </row>
    <row r="385" spans="12:12">
      <c r="L385"/>
    </row>
    <row r="386" spans="12:12">
      <c r="L386"/>
    </row>
    <row r="387" spans="12:12">
      <c r="L387"/>
    </row>
    <row r="388" spans="12:12">
      <c r="L388"/>
    </row>
    <row r="389" spans="12:12">
      <c r="L389"/>
    </row>
    <row r="390" spans="12:12">
      <c r="L390"/>
    </row>
    <row r="391" spans="12:12">
      <c r="L391"/>
    </row>
    <row r="392" spans="12:12">
      <c r="L392"/>
    </row>
    <row r="393" spans="12:12">
      <c r="L393"/>
    </row>
    <row r="394" spans="12:12">
      <c r="L394"/>
    </row>
    <row r="395" spans="12:12">
      <c r="L395"/>
    </row>
    <row r="396" spans="12:12">
      <c r="L396"/>
    </row>
    <row r="397" spans="12:12">
      <c r="L397"/>
    </row>
    <row r="398" spans="12:12">
      <c r="L398"/>
    </row>
    <row r="399" spans="12:12">
      <c r="L399"/>
    </row>
    <row r="400" spans="12:12">
      <c r="L400"/>
    </row>
    <row r="401" spans="12:12">
      <c r="L401"/>
    </row>
    <row r="402" spans="12:12">
      <c r="L402"/>
    </row>
    <row r="403" spans="12:12">
      <c r="L403"/>
    </row>
    <row r="404" spans="12:12">
      <c r="L404"/>
    </row>
    <row r="405" spans="12:12">
      <c r="L405"/>
    </row>
    <row r="406" spans="12:12">
      <c r="L406"/>
    </row>
    <row r="407" spans="12:12">
      <c r="L407"/>
    </row>
    <row r="408" spans="12:12">
      <c r="L408"/>
    </row>
    <row r="409" spans="12:12">
      <c r="L409"/>
    </row>
    <row r="410" spans="12:12">
      <c r="L410"/>
    </row>
    <row r="411" spans="12:12">
      <c r="L411"/>
    </row>
    <row r="412" spans="12:12">
      <c r="L412"/>
    </row>
    <row r="413" spans="12:12">
      <c r="L413"/>
    </row>
    <row r="414" spans="12:12">
      <c r="L414"/>
    </row>
    <row r="415" spans="12:12">
      <c r="L415"/>
    </row>
    <row r="416" spans="12:12">
      <c r="L416"/>
    </row>
    <row r="417" spans="12:12">
      <c r="L417"/>
    </row>
    <row r="418" spans="12:12">
      <c r="L418"/>
    </row>
    <row r="419" spans="12:12">
      <c r="L419"/>
    </row>
    <row r="420" spans="12:12">
      <c r="L420"/>
    </row>
    <row r="421" spans="12:12">
      <c r="L421"/>
    </row>
    <row r="422" spans="12:12">
      <c r="L422"/>
    </row>
    <row r="423" spans="12:12">
      <c r="L423"/>
    </row>
    <row r="424" spans="12:12">
      <c r="L424"/>
    </row>
    <row r="425" spans="12:12">
      <c r="L425"/>
    </row>
    <row r="426" spans="12:12">
      <c r="L426"/>
    </row>
    <row r="427" spans="12:12">
      <c r="L427"/>
    </row>
    <row r="428" spans="12:12">
      <c r="L428"/>
    </row>
    <row r="429" spans="12:12">
      <c r="L429"/>
    </row>
    <row r="430" spans="12:12">
      <c r="L430"/>
    </row>
    <row r="431" spans="12:12">
      <c r="L431"/>
    </row>
    <row r="432" spans="12:12">
      <c r="L432"/>
    </row>
    <row r="433" spans="12:12">
      <c r="L433"/>
    </row>
    <row r="434" spans="12:12">
      <c r="L434"/>
    </row>
    <row r="435" spans="12:12">
      <c r="L435"/>
    </row>
    <row r="436" spans="12:12">
      <c r="L436"/>
    </row>
    <row r="437" spans="12:12">
      <c r="L437"/>
    </row>
    <row r="438" spans="12:12">
      <c r="L438"/>
    </row>
    <row r="439" spans="12:12">
      <c r="L439"/>
    </row>
    <row r="440" spans="12:12">
      <c r="L440"/>
    </row>
    <row r="441" spans="12:12">
      <c r="L441"/>
    </row>
    <row r="442" spans="12:12">
      <c r="L442"/>
    </row>
    <row r="443" spans="12:12">
      <c r="L443"/>
    </row>
    <row r="444" spans="12:12">
      <c r="L444"/>
    </row>
    <row r="445" spans="12:12">
      <c r="L445"/>
    </row>
    <row r="446" spans="12:12">
      <c r="L446"/>
    </row>
    <row r="447" spans="12:12">
      <c r="L447"/>
    </row>
    <row r="448" spans="12:12">
      <c r="L448"/>
    </row>
    <row r="449" spans="12:12">
      <c r="L449"/>
    </row>
    <row r="450" spans="12:12">
      <c r="L450"/>
    </row>
    <row r="451" spans="12:12">
      <c r="L451"/>
    </row>
    <row r="452" spans="12:12">
      <c r="L452"/>
    </row>
    <row r="453" spans="12:12">
      <c r="L453"/>
    </row>
    <row r="454" spans="12:12">
      <c r="L454"/>
    </row>
    <row r="455" spans="12:12">
      <c r="L455"/>
    </row>
    <row r="456" spans="12:12">
      <c r="L456"/>
    </row>
    <row r="457" spans="12:12">
      <c r="L457"/>
    </row>
    <row r="458" spans="12:12">
      <c r="L458"/>
    </row>
    <row r="459" spans="12:12">
      <c r="L459"/>
    </row>
    <row r="460" spans="12:12">
      <c r="L460"/>
    </row>
    <row r="461" spans="12:12">
      <c r="L461"/>
    </row>
    <row r="462" spans="12:12">
      <c r="L462"/>
    </row>
    <row r="463" spans="12:12">
      <c r="L463"/>
    </row>
    <row r="464" spans="12:12">
      <c r="L464"/>
    </row>
    <row r="465" spans="12:12">
      <c r="L465"/>
    </row>
    <row r="466" spans="12:12">
      <c r="L466"/>
    </row>
    <row r="467" spans="12:12">
      <c r="L467"/>
    </row>
    <row r="468" spans="12:12">
      <c r="L468"/>
    </row>
    <row r="469" spans="12:12">
      <c r="L469"/>
    </row>
    <row r="470" spans="12:12">
      <c r="L470"/>
    </row>
    <row r="471" spans="12:12">
      <c r="L471"/>
    </row>
    <row r="472" spans="12:12">
      <c r="L472"/>
    </row>
    <row r="473" spans="12:12">
      <c r="L473"/>
    </row>
    <row r="474" spans="12:12">
      <c r="L474"/>
    </row>
    <row r="475" spans="12:12">
      <c r="L475"/>
    </row>
    <row r="476" spans="12:12">
      <c r="L476"/>
    </row>
    <row r="477" spans="12:12">
      <c r="L477"/>
    </row>
    <row r="478" spans="12:12">
      <c r="L478"/>
    </row>
    <row r="479" spans="12:12">
      <c r="L479"/>
    </row>
    <row r="480" spans="12:12">
      <c r="L480"/>
    </row>
    <row r="481" spans="12:12">
      <c r="L481"/>
    </row>
    <row r="482" spans="12:12">
      <c r="L482"/>
    </row>
    <row r="483" spans="12:12">
      <c r="L483"/>
    </row>
    <row r="484" spans="12:12">
      <c r="L484"/>
    </row>
    <row r="485" spans="12:12">
      <c r="L485"/>
    </row>
    <row r="486" spans="12:12">
      <c r="L486"/>
    </row>
    <row r="487" spans="12:12">
      <c r="L487"/>
    </row>
    <row r="488" spans="12:12">
      <c r="L488"/>
    </row>
    <row r="489" spans="12:12">
      <c r="L489"/>
    </row>
    <row r="490" spans="12:12">
      <c r="L490"/>
    </row>
    <row r="491" spans="12:12">
      <c r="L491"/>
    </row>
    <row r="492" spans="12:12">
      <c r="L492"/>
    </row>
    <row r="493" spans="12:12">
      <c r="L493"/>
    </row>
    <row r="494" spans="12:12">
      <c r="L494"/>
    </row>
    <row r="495" spans="12:12">
      <c r="L495"/>
    </row>
    <row r="496" spans="12:12">
      <c r="L496"/>
    </row>
    <row r="497" spans="12:12">
      <c r="L497"/>
    </row>
    <row r="498" spans="12:12">
      <c r="L498"/>
    </row>
    <row r="499" spans="12:12">
      <c r="L499"/>
    </row>
  </sheetData>
  <autoFilter ref="A1:D500" xr:uid="{C5AEFD92-AE42-445C-8771-97B628B0347E}"/>
  <dataValidations count="1">
    <dataValidation type="list" allowBlank="1" showInputMessage="1" showErrorMessage="1" sqref="H2:H4" xr:uid="{6C842B80-4FEA-42C2-A6DF-B8EAF563D59C}">
      <formula1>$A$2:$A$101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Amorim</dc:creator>
  <cp:keywords/>
  <dc:description/>
  <cp:lastModifiedBy/>
  <cp:revision/>
  <dcterms:created xsi:type="dcterms:W3CDTF">2019-10-16T14:05:57Z</dcterms:created>
  <dcterms:modified xsi:type="dcterms:W3CDTF">2026-08-14T14:29:32Z</dcterms:modified>
  <cp:category/>
  <cp:contentStatus/>
</cp:coreProperties>
</file>